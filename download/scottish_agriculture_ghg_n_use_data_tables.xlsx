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https://scotsconnect.sharepoint.com/sites/AgriculturalAnalysisUnit-SG/Shared Documents/Economic Statistics/GHG emissions and N use report/"/>
    </mc:Choice>
  </mc:AlternateContent>
  <xr:revisionPtr revIDLastSave="0" documentId="8_{F0FA2185-D650-4AAB-A357-17811116CB6B}" xr6:coauthVersionLast="47" xr6:coauthVersionMax="47" xr10:uidLastSave="{00000000-0000-0000-0000-000000000000}"/>
  <bookViews>
    <workbookView xWindow="-28800" yWindow="0" windowWidth="16215" windowHeight="15600" tabRatio="652" firstSheet="1" activeTab="3" xr2:uid="{00000000-000D-0000-FFFF-FFFF00000000}"/>
  </bookViews>
  <sheets>
    <sheet name="Cover sheet" sheetId="49" r:id="rId1"/>
    <sheet name="Notes" sheetId="51" r:id="rId2"/>
    <sheet name="Table of contents" sheetId="50" r:id="rId3"/>
    <sheet name="Table_1" sheetId="12" r:id="rId4"/>
    <sheet name="Table_2" sheetId="54" r:id="rId5"/>
    <sheet name="Table_3" sheetId="55" r:id="rId6"/>
    <sheet name="Table_4" sheetId="56" r:id="rId7"/>
  </sheets>
  <externalReferences>
    <externalReference r:id="rId8"/>
  </externalReferences>
  <definedNames>
    <definedName name="_s" hidden="1">#REF!</definedName>
    <definedName name="_Sort" hidden="1">#REF!</definedName>
    <definedName name="f" hidden="1">#REF!</definedName>
    <definedName name="m"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7" i="56" l="1"/>
  <c r="S7" i="56"/>
  <c r="R8" i="56"/>
  <c r="S8" i="56"/>
  <c r="R9" i="56"/>
  <c r="S9" i="56"/>
  <c r="R10" i="56"/>
  <c r="S10" i="56"/>
  <c r="R11" i="56"/>
  <c r="S11" i="56"/>
  <c r="R12" i="56"/>
  <c r="S12" i="56"/>
  <c r="R13" i="56"/>
  <c r="S13" i="56"/>
  <c r="R14" i="56"/>
  <c r="S14" i="56"/>
  <c r="R15" i="56"/>
  <c r="S15" i="56"/>
  <c r="R16" i="56"/>
  <c r="S16" i="56"/>
  <c r="R17" i="56"/>
  <c r="S17" i="56"/>
  <c r="R18" i="56"/>
  <c r="S18" i="56"/>
  <c r="R22" i="56"/>
  <c r="S22" i="56"/>
  <c r="R23" i="56"/>
  <c r="S23" i="56"/>
  <c r="R24" i="56"/>
  <c r="S24" i="56"/>
  <c r="Q8" i="56"/>
  <c r="Q9" i="56"/>
  <c r="Q10" i="56"/>
  <c r="Q11" i="56"/>
  <c r="Q12" i="56"/>
  <c r="Q13" i="56"/>
  <c r="Q14" i="56"/>
  <c r="Q15" i="56"/>
  <c r="Q16" i="56"/>
  <c r="Q17" i="56"/>
  <c r="Q18" i="56"/>
  <c r="Q22" i="56"/>
  <c r="Q23" i="56"/>
  <c r="Q24" i="56"/>
  <c r="Q7" i="56"/>
  <c r="M8" i="56"/>
  <c r="N8" i="56"/>
  <c r="O8" i="56"/>
  <c r="M9" i="56"/>
  <c r="N9" i="56"/>
  <c r="O9" i="56"/>
  <c r="M10" i="56"/>
  <c r="N10" i="56"/>
  <c r="O10" i="56"/>
  <c r="M11" i="56"/>
  <c r="N11" i="56"/>
  <c r="O11" i="56"/>
  <c r="M12" i="56"/>
  <c r="N12" i="56"/>
  <c r="O12" i="56"/>
  <c r="M13" i="56"/>
  <c r="N13" i="56"/>
  <c r="O13" i="56"/>
  <c r="M14" i="56"/>
  <c r="N14" i="56"/>
  <c r="O14" i="56"/>
  <c r="M15" i="56"/>
  <c r="N15" i="56"/>
  <c r="O15" i="56"/>
  <c r="M16" i="56"/>
  <c r="N16" i="56"/>
  <c r="O16" i="56"/>
  <c r="M17" i="56"/>
  <c r="N17" i="56"/>
  <c r="O17" i="56"/>
  <c r="M18" i="56"/>
  <c r="N18" i="56"/>
  <c r="O18" i="56"/>
  <c r="M22" i="56"/>
  <c r="N22" i="56"/>
  <c r="O22" i="56"/>
  <c r="M23" i="56"/>
  <c r="N23" i="56"/>
  <c r="O23" i="56"/>
  <c r="M24" i="56"/>
  <c r="N24" i="56"/>
  <c r="O24" i="56"/>
  <c r="N7" i="56"/>
  <c r="O7" i="56"/>
  <c r="M7" i="56"/>
  <c r="Q8" i="55"/>
  <c r="R8" i="55"/>
  <c r="S8" i="55"/>
  <c r="Q9" i="55"/>
  <c r="R9" i="55"/>
  <c r="S9" i="55"/>
  <c r="Q10" i="55"/>
  <c r="R10" i="55"/>
  <c r="S10" i="55"/>
  <c r="Q11" i="55"/>
  <c r="R11" i="55"/>
  <c r="S11" i="55"/>
  <c r="Q12" i="55"/>
  <c r="R12" i="55"/>
  <c r="S12" i="55"/>
  <c r="Q13" i="55"/>
  <c r="R13" i="55"/>
  <c r="S13" i="55"/>
  <c r="Q14" i="55"/>
  <c r="R14" i="55"/>
  <c r="S14" i="55"/>
  <c r="Q15" i="55"/>
  <c r="R15" i="55"/>
  <c r="S15" i="55"/>
  <c r="Q16" i="55"/>
  <c r="R16" i="55"/>
  <c r="S16" i="55"/>
  <c r="Q17" i="55"/>
  <c r="R17" i="55"/>
  <c r="S17" i="55"/>
  <c r="Q18" i="55"/>
  <c r="R18" i="55"/>
  <c r="S18" i="55"/>
  <c r="Q22" i="55"/>
  <c r="R22" i="55"/>
  <c r="S22" i="55"/>
  <c r="Q23" i="55"/>
  <c r="R23" i="55"/>
  <c r="S23" i="55"/>
  <c r="Q24" i="55"/>
  <c r="R24" i="55"/>
  <c r="S24" i="55"/>
  <c r="R7" i="55"/>
  <c r="S7" i="55"/>
  <c r="Q7" i="55"/>
  <c r="N8" i="55"/>
  <c r="N7" i="55"/>
  <c r="O7" i="55"/>
  <c r="O8" i="55"/>
  <c r="N9" i="55"/>
  <c r="O9" i="55"/>
  <c r="N10" i="55"/>
  <c r="O10" i="55"/>
  <c r="N11" i="55"/>
  <c r="O11" i="55"/>
  <c r="N12" i="55"/>
  <c r="O12" i="55"/>
  <c r="N13" i="55"/>
  <c r="O13" i="55"/>
  <c r="N14" i="55"/>
  <c r="O14" i="55"/>
  <c r="N15" i="55"/>
  <c r="O15" i="55"/>
  <c r="N16" i="55"/>
  <c r="O16" i="55"/>
  <c r="N17" i="55"/>
  <c r="O17" i="55"/>
  <c r="N18" i="55"/>
  <c r="O18" i="55"/>
  <c r="N22" i="55"/>
  <c r="O22" i="55"/>
  <c r="N23" i="55"/>
  <c r="O23" i="55"/>
  <c r="N24" i="55"/>
  <c r="O24" i="55"/>
  <c r="M8" i="55"/>
  <c r="M9" i="55"/>
  <c r="M10" i="55"/>
  <c r="M11" i="55"/>
  <c r="M12" i="55"/>
  <c r="M13" i="55"/>
  <c r="M14" i="55"/>
  <c r="M15" i="55"/>
  <c r="M16" i="55"/>
  <c r="M17" i="55"/>
  <c r="M18" i="55"/>
  <c r="M22" i="55"/>
  <c r="M23" i="55"/>
  <c r="M24" i="55"/>
  <c r="M7" i="55"/>
  <c r="Q22" i="54"/>
  <c r="R22" i="54"/>
  <c r="S22" i="54"/>
  <c r="Q23" i="54"/>
  <c r="R23" i="54"/>
  <c r="S23" i="54"/>
  <c r="Q24" i="54"/>
  <c r="R24" i="54"/>
  <c r="S24" i="54"/>
  <c r="Q8" i="54"/>
  <c r="R8" i="54"/>
  <c r="S8" i="54"/>
  <c r="Q9" i="54"/>
  <c r="R9" i="54"/>
  <c r="S9" i="54"/>
  <c r="Q10" i="54"/>
  <c r="R10" i="54"/>
  <c r="S10" i="54"/>
  <c r="Q11" i="54"/>
  <c r="R11" i="54"/>
  <c r="S11" i="54"/>
  <c r="Q12" i="54"/>
  <c r="R12" i="54"/>
  <c r="S12" i="54"/>
  <c r="Q13" i="54"/>
  <c r="R13" i="54"/>
  <c r="S13" i="54"/>
  <c r="Q14" i="54"/>
  <c r="R14" i="54"/>
  <c r="S14" i="54"/>
  <c r="Q15" i="54"/>
  <c r="R15" i="54"/>
  <c r="S15" i="54"/>
  <c r="Q16" i="54"/>
  <c r="R16" i="54"/>
  <c r="S16" i="54"/>
  <c r="Q17" i="54"/>
  <c r="R17" i="54"/>
  <c r="S17" i="54"/>
  <c r="Q18" i="54"/>
  <c r="R18" i="54"/>
  <c r="S18" i="54"/>
  <c r="R7" i="54"/>
  <c r="S7" i="54"/>
  <c r="Q7" i="54"/>
  <c r="M23" i="54"/>
  <c r="N23" i="54"/>
  <c r="O23" i="54"/>
  <c r="M24" i="54"/>
  <c r="N24" i="54"/>
  <c r="O24" i="54"/>
  <c r="N22" i="54"/>
  <c r="O22" i="54"/>
  <c r="M22" i="54"/>
  <c r="M8" i="54"/>
  <c r="N8" i="54"/>
  <c r="O8" i="54"/>
  <c r="M9" i="54"/>
  <c r="N9" i="54"/>
  <c r="O9" i="54"/>
  <c r="M10" i="54"/>
  <c r="N10" i="54"/>
  <c r="O10" i="54"/>
  <c r="M11" i="54"/>
  <c r="N11" i="54"/>
  <c r="O11" i="54"/>
  <c r="M12" i="54"/>
  <c r="N12" i="54"/>
  <c r="O12" i="54"/>
  <c r="M13" i="54"/>
  <c r="N13" i="54"/>
  <c r="O13" i="54"/>
  <c r="M14" i="54"/>
  <c r="N14" i="54"/>
  <c r="O14" i="54"/>
  <c r="M15" i="54"/>
  <c r="N15" i="54"/>
  <c r="O15" i="54"/>
  <c r="M16" i="54"/>
  <c r="N16" i="54"/>
  <c r="O16" i="54"/>
  <c r="M17" i="54"/>
  <c r="N17" i="54"/>
  <c r="O17" i="54"/>
  <c r="M18" i="54"/>
  <c r="N18" i="54"/>
  <c r="O18" i="54"/>
  <c r="N7" i="54"/>
  <c r="O7" i="54"/>
  <c r="M7" i="54"/>
  <c r="Q22" i="12"/>
  <c r="R22" i="12"/>
  <c r="S22" i="12"/>
  <c r="Q23" i="12"/>
  <c r="R23" i="12"/>
  <c r="S23" i="12"/>
  <c r="Q24" i="12"/>
  <c r="R24" i="12"/>
  <c r="S24" i="12"/>
  <c r="R7" i="12"/>
  <c r="S7" i="12"/>
  <c r="R8" i="12"/>
  <c r="S8" i="12"/>
  <c r="R9" i="12"/>
  <c r="S9" i="12"/>
  <c r="R10" i="12"/>
  <c r="S10" i="12"/>
  <c r="R11" i="12"/>
  <c r="S11" i="12"/>
  <c r="R12" i="12"/>
  <c r="S12" i="12"/>
  <c r="R13" i="12"/>
  <c r="S13" i="12"/>
  <c r="R14" i="12"/>
  <c r="S14" i="12"/>
  <c r="R15" i="12"/>
  <c r="S15" i="12"/>
  <c r="R16" i="12"/>
  <c r="S16" i="12"/>
  <c r="R17" i="12"/>
  <c r="S17" i="12"/>
  <c r="R18" i="12"/>
  <c r="S18" i="12"/>
  <c r="Q8" i="12"/>
  <c r="Q9" i="12"/>
  <c r="Q10" i="12"/>
  <c r="Q11" i="12"/>
  <c r="Q12" i="12"/>
  <c r="Q13" i="12"/>
  <c r="Q14" i="12"/>
  <c r="Q15" i="12"/>
  <c r="Q16" i="12"/>
  <c r="Q17" i="12"/>
  <c r="Q18" i="12"/>
  <c r="Q7" i="12"/>
  <c r="M8" i="12"/>
  <c r="N8" i="12"/>
  <c r="O8" i="12"/>
  <c r="M9" i="12"/>
  <c r="N9" i="12"/>
  <c r="O9" i="12"/>
  <c r="M10" i="12"/>
  <c r="N10" i="12"/>
  <c r="O10" i="12"/>
  <c r="M11" i="12"/>
  <c r="N11" i="12"/>
  <c r="O11" i="12"/>
  <c r="M12" i="12"/>
  <c r="N12" i="12"/>
  <c r="O12" i="12"/>
  <c r="M13" i="12"/>
  <c r="N13" i="12"/>
  <c r="O13" i="12"/>
  <c r="M14" i="12"/>
  <c r="N14" i="12"/>
  <c r="O14" i="12"/>
  <c r="M15" i="12"/>
  <c r="N15" i="12"/>
  <c r="O15" i="12"/>
  <c r="M16" i="12"/>
  <c r="N16" i="12"/>
  <c r="O16" i="12"/>
  <c r="M17" i="12"/>
  <c r="N17" i="12"/>
  <c r="O17" i="12"/>
  <c r="M18" i="12"/>
  <c r="N18" i="12"/>
  <c r="O18" i="12"/>
  <c r="M22" i="12"/>
  <c r="N22" i="12"/>
  <c r="O22" i="12"/>
  <c r="M23" i="12"/>
  <c r="N23" i="12"/>
  <c r="O23" i="12"/>
  <c r="M24" i="12"/>
  <c r="N24" i="12"/>
  <c r="O24" i="12"/>
  <c r="N7" i="12"/>
  <c r="O7" i="12"/>
  <c r="M7" i="12"/>
  <c r="I23" i="12"/>
  <c r="J23" i="12"/>
  <c r="K23" i="12"/>
  <c r="I24" i="12"/>
  <c r="J24" i="12"/>
  <c r="K24" i="12"/>
  <c r="J22" i="12"/>
  <c r="K22" i="12"/>
  <c r="I22" i="12"/>
  <c r="I8" i="12"/>
  <c r="J8" i="12"/>
  <c r="K8" i="12"/>
  <c r="I9" i="12"/>
  <c r="J9" i="12"/>
  <c r="K9" i="12"/>
  <c r="I10" i="12"/>
  <c r="J10" i="12"/>
  <c r="K10" i="12"/>
  <c r="I11" i="12"/>
  <c r="J11" i="12"/>
  <c r="K11" i="12"/>
  <c r="I12" i="12"/>
  <c r="J12" i="12"/>
  <c r="K12" i="12"/>
  <c r="I13" i="12"/>
  <c r="J13" i="12"/>
  <c r="K13" i="12"/>
  <c r="I14" i="12"/>
  <c r="J14" i="12"/>
  <c r="K14" i="12"/>
  <c r="I15" i="12"/>
  <c r="J15" i="12"/>
  <c r="K15" i="12"/>
  <c r="I16" i="12"/>
  <c r="J16" i="12"/>
  <c r="K16" i="12"/>
  <c r="I17" i="12"/>
  <c r="J17" i="12"/>
  <c r="K17" i="12"/>
  <c r="I18" i="12"/>
  <c r="J18" i="12"/>
  <c r="K18" i="12"/>
  <c r="J7" i="12"/>
  <c r="K7" i="12"/>
  <c r="I7" i="12"/>
</calcChain>
</file>

<file path=xl/sharedStrings.xml><?xml version="1.0" encoding="utf-8"?>
<sst xmlns="http://schemas.openxmlformats.org/spreadsheetml/2006/main" count="232" uniqueCount="59">
  <si>
    <t>Information</t>
  </si>
  <si>
    <t>Table of contents</t>
  </si>
  <si>
    <t>This worksheet contains one table.</t>
  </si>
  <si>
    <t>Table number</t>
  </si>
  <si>
    <t>Table title</t>
  </si>
  <si>
    <t>Table link</t>
  </si>
  <si>
    <t>Table 1</t>
  </si>
  <si>
    <t>Table_1</t>
  </si>
  <si>
    <t>Table 2</t>
  </si>
  <si>
    <t>Table_2</t>
  </si>
  <si>
    <t>Table 3</t>
  </si>
  <si>
    <t>Table_3</t>
  </si>
  <si>
    <t>Table 4</t>
  </si>
  <si>
    <t>Table_4</t>
  </si>
  <si>
    <t>Notes</t>
  </si>
  <si>
    <t>Note number</t>
  </si>
  <si>
    <t>Note text</t>
  </si>
  <si>
    <t>Useful links</t>
  </si>
  <si>
    <t>Link to table of contents</t>
  </si>
  <si>
    <t>Some tables refer to notes. When notes are mentioned the note marker is presented in square brackets. The note text can be found in the Notes worksheet</t>
  </si>
  <si>
    <t xml:space="preserve">Contact
</t>
  </si>
  <si>
    <t xml:space="preserve">Date of Publication
</t>
  </si>
  <si>
    <t>Media enquiries</t>
  </si>
  <si>
    <t>agric.stats@gov.scot</t>
  </si>
  <si>
    <t>Some cells refer to notes which can be found on the Notes worksheet.</t>
  </si>
  <si>
    <r>
      <t>Table 1: Absolute emissions (t CO</t>
    </r>
    <r>
      <rPr>
        <b/>
        <vertAlign val="subscript"/>
        <sz val="12"/>
        <rFont val="Arial"/>
        <family val="2"/>
      </rPr>
      <t>2</t>
    </r>
    <r>
      <rPr>
        <b/>
        <sz val="12"/>
        <rFont val="Arial"/>
        <family val="2"/>
      </rPr>
      <t>-e per ha) by farm type, 2019-20 to 2021-22</t>
    </r>
  </si>
  <si>
    <t>Farm type</t>
  </si>
  <si>
    <t>Cereal</t>
  </si>
  <si>
    <t>General Cropping</t>
  </si>
  <si>
    <t>Dairy</t>
  </si>
  <si>
    <t>Mixed</t>
  </si>
  <si>
    <t>2019-20</t>
  </si>
  <si>
    <t>2020-21</t>
  </si>
  <si>
    <t>2021-22</t>
  </si>
  <si>
    <t>Measure</t>
  </si>
  <si>
    <t>Upper quartile</t>
  </si>
  <si>
    <t>Lower quartile</t>
  </si>
  <si>
    <r>
      <t>Table 2: Emission intensity (kg CO</t>
    </r>
    <r>
      <rPr>
        <b/>
        <vertAlign val="subscript"/>
        <sz val="12"/>
        <rFont val="Arial"/>
        <family val="2"/>
      </rPr>
      <t>2</t>
    </r>
    <r>
      <rPr>
        <b/>
        <sz val="12"/>
        <rFont val="Arial"/>
        <family val="2"/>
      </rPr>
      <t>-e per kg output) by farm type, 2019-20 to 2021-22</t>
    </r>
  </si>
  <si>
    <t>Table 3: Nitrogen balance (kg nitrogen surplus) by farm type, 2019-20 to 2021-22 [2]</t>
  </si>
  <si>
    <t>All farm types [1]</t>
  </si>
  <si>
    <t>All farm types includes lowland cattle and sheep farms.</t>
  </si>
  <si>
    <t>Less favoured area (LFA) livestock farms</t>
  </si>
  <si>
    <t>Source: Scottish Government - Farm Business Survey 2021-22: Farm level emissions and nitrogen usage</t>
  </si>
  <si>
    <t xml:space="preserve">This workbook contains final estimates of average farm greenhouse gas and nitrogen balance and use efficiency from the Farm Business Survey in Scotland. Data covers the period from 2019 to the 2021 crop year, more specifically the 2019-20 to the 2021-22 financial year. </t>
  </si>
  <si>
    <t>Estimates of absolute gross emissions (t Ct CO2-e per ha) and emissions intensity (kg CO2-e per kg of output) are based on farm production activities and calculated using the carbon footprint calculator Agrecalc. The tool uses the latest IPCC Tier I and Tier II in its calculations and is PAS2050 certified. There are different methods by which emissions can be estimated and care should be taken in comparing to outputs of different methodologies.</t>
  </si>
  <si>
    <t>Average (median)</t>
  </si>
  <si>
    <t>Estimates of nitrogen balance and use efficiency are based on standard estimates of nitrogen content in all farm inputs and outputs where possible. Nitrogen estimates are not made for organic farms, which means a small proportion of the sample are excluded.</t>
  </si>
  <si>
    <t>Data in this workbooks relates to the "Farm Business Survey 2021-22: Farm level emissions and nitrogen usage" statistical release. These data are designated as experimental statistics. They are newly developed statistics undergoing testing.</t>
  </si>
  <si>
    <t>Results include the average (median) farm and the upper and lower quartiles demonstrate the variability of results. Results are not directly comparable to results published on farm income.</t>
  </si>
  <si>
    <t>Nitrogen data is not available for all farms in the farm business survey. Specifically, organic farms are excluded. Data are not directly comparable with data elsewhere which may include all farms in the farm business survey sample.</t>
  </si>
  <si>
    <t>Table 1: Absolute emissions (t CO2-e per ha) by farm type, 2019-20 to 2021-22</t>
  </si>
  <si>
    <t>Table 2: Emission intensity (kg CO2-e per kg output) by farm type, 2019-20 to 2021-22</t>
  </si>
  <si>
    <t>Table 4: Nitrogen use efficiency (% nitrogen outputs / nitrogen inputs) by farm type, 2019-20 to 2021-22 [2]</t>
  </si>
  <si>
    <t>21 June 2023</t>
  </si>
  <si>
    <t>Farm Business Survey 2021-22: Farm level emissions and nitrogen usage</t>
  </si>
  <si>
    <t>Farm Business Survey 2021-22: Farm level emissions and nitrogen usage: Methodology</t>
  </si>
  <si>
    <t xml:space="preserve">Telephone numbers and contact information
</t>
  </si>
  <si>
    <t>CHECK</t>
  </si>
  <si>
    <t>DIFF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</si>
</sst>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0.0"/>
    <numFmt numFmtId="166" formatCode="#,##0.000"/>
    <numFmt numFmtId="167" formatCode="#,##0.0000"/>
    <numFmt numFmtId="169" formatCode="0.00000000"/>
  </numFmts>
  <fonts count="23" x14ac:knownFonts="1">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8"/>
      <name val="Arial"/>
      <family val="2"/>
    </font>
    <font>
      <b/>
      <sz val="12"/>
      <name val="Arial"/>
      <family val="2"/>
    </font>
    <font>
      <sz val="10"/>
      <name val="Arial"/>
      <family val="2"/>
    </font>
    <font>
      <b/>
      <sz val="16"/>
      <name val="Arial"/>
      <family val="2"/>
    </font>
    <font>
      <sz val="12"/>
      <name val="Arial"/>
      <family val="2"/>
    </font>
    <font>
      <sz val="12"/>
      <color theme="1"/>
      <name val="Arial"/>
      <family val="2"/>
    </font>
    <font>
      <u/>
      <sz val="11"/>
      <color theme="10"/>
      <name val="Calibri"/>
      <family val="2"/>
      <scheme val="minor"/>
    </font>
    <font>
      <u/>
      <sz val="12"/>
      <color theme="10"/>
      <name val="Arial"/>
      <family val="2"/>
    </font>
    <font>
      <u/>
      <sz val="12"/>
      <color rgb="FF0000FF"/>
      <name val="Arial"/>
      <family val="2"/>
    </font>
    <font>
      <sz val="11"/>
      <color rgb="FF000000"/>
      <name val="Calibri"/>
      <family val="2"/>
    </font>
    <font>
      <b/>
      <sz val="15"/>
      <color rgb="FF44546A"/>
      <name val="Calibri"/>
      <family val="2"/>
    </font>
    <font>
      <sz val="11"/>
      <color rgb="FFFF00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b/>
      <vertAlign val="subscript"/>
      <sz val="12"/>
      <name val="Arial"/>
      <family val="2"/>
    </font>
    <font>
      <sz val="8"/>
      <name val="Calibri"/>
      <family val="2"/>
      <scheme val="minor"/>
    </font>
    <font>
      <b/>
      <sz val="12"/>
      <name val="Arial"/>
    </font>
  </fonts>
  <fills count="3">
    <fill>
      <patternFill patternType="none"/>
    </fill>
    <fill>
      <patternFill patternType="gray125"/>
    </fill>
    <fill>
      <patternFill patternType="solid">
        <fgColor rgb="FFFFFF00"/>
        <bgColor indexed="64"/>
      </patternFill>
    </fill>
  </fills>
  <borders count="15">
    <border>
      <left/>
      <right/>
      <top/>
      <bottom/>
      <diagonal/>
    </border>
    <border>
      <left style="medium">
        <color indexed="64"/>
      </left>
      <right/>
      <top/>
      <bottom/>
      <diagonal/>
    </border>
    <border>
      <left style="medium">
        <color indexed="64"/>
      </left>
      <right/>
      <top style="medium">
        <color indexed="64"/>
      </top>
      <bottom/>
      <diagonal/>
    </border>
    <border>
      <left/>
      <right style="medium">
        <color indexed="64"/>
      </right>
      <top/>
      <bottom/>
      <diagonal/>
    </border>
    <border>
      <left style="medium">
        <color indexed="64"/>
      </left>
      <right style="medium">
        <color indexed="64"/>
      </right>
      <top/>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top/>
      <bottom style="thick">
        <color rgb="FF4472C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s>
  <cellStyleXfs count="20">
    <xf numFmtId="0" fontId="0" fillId="0" borderId="0"/>
    <xf numFmtId="164" fontId="1" fillId="0" borderId="0" applyFont="0" applyFill="0" applyBorder="0" applyAlignment="0" applyProtection="0"/>
    <xf numFmtId="9" fontId="3" fillId="0" borderId="0" applyFont="0" applyFill="0" applyBorder="0" applyAlignment="0" applyProtection="0"/>
    <xf numFmtId="9" fontId="7" fillId="0" borderId="0" applyFont="0" applyFill="0" applyBorder="0" applyAlignment="0" applyProtection="0"/>
    <xf numFmtId="164" fontId="3" fillId="0" borderId="0" applyFont="0" applyFill="0" applyBorder="0" applyAlignment="0" applyProtection="0"/>
    <xf numFmtId="0" fontId="3" fillId="0" borderId="0"/>
    <xf numFmtId="0" fontId="5" fillId="0" borderId="0"/>
    <xf numFmtId="0" fontId="12" fillId="0" borderId="0" applyNumberFormat="0" applyFill="0" applyBorder="0" applyAlignment="0" applyProtection="0"/>
    <xf numFmtId="0" fontId="2" fillId="0" borderId="0"/>
    <xf numFmtId="0" fontId="11" fillId="0" borderId="0" applyNumberFormat="0" applyFill="0" applyBorder="0" applyAlignment="0" applyProtection="0"/>
    <xf numFmtId="0" fontId="3" fillId="0" borderId="0"/>
    <xf numFmtId="0" fontId="10" fillId="0" borderId="0"/>
    <xf numFmtId="0" fontId="14" fillId="0" borderId="0"/>
    <xf numFmtId="0" fontId="15" fillId="0" borderId="9" applyNumberFormat="0" applyFill="0" applyAlignment="0" applyProtection="0"/>
    <xf numFmtId="0" fontId="17" fillId="0" borderId="12" applyNumberFormat="0" applyFill="0" applyAlignment="0" applyProtection="0"/>
    <xf numFmtId="0" fontId="18" fillId="0" borderId="13" applyNumberFormat="0" applyFill="0" applyAlignment="0" applyProtection="0"/>
    <xf numFmtId="0" fontId="19" fillId="0" borderId="14" applyNumberFormat="0" applyFill="0" applyAlignment="0" applyProtection="0"/>
    <xf numFmtId="0" fontId="8" fillId="0" borderId="0" applyAlignment="0">
      <alignment vertical="top"/>
    </xf>
    <xf numFmtId="0" fontId="6" fillId="0" borderId="0"/>
    <xf numFmtId="0" fontId="10" fillId="0" borderId="0"/>
  </cellStyleXfs>
  <cellXfs count="71">
    <xf numFmtId="0" fontId="0" fillId="0" borderId="0" xfId="0"/>
    <xf numFmtId="0" fontId="4" fillId="0" borderId="0" xfId="0" applyFont="1"/>
    <xf numFmtId="3" fontId="0" fillId="0" borderId="0" xfId="0" applyNumberFormat="1"/>
    <xf numFmtId="166" fontId="0" fillId="0" borderId="0" xfId="0" applyNumberFormat="1"/>
    <xf numFmtId="167" fontId="0" fillId="0" borderId="0" xfId="0" applyNumberFormat="1"/>
    <xf numFmtId="9" fontId="3" fillId="0" borderId="0" xfId="2" applyFont="1" applyFill="1" applyBorder="1"/>
    <xf numFmtId="0" fontId="2" fillId="0" borderId="0" xfId="8"/>
    <xf numFmtId="0" fontId="10" fillId="0" borderId="0" xfId="8" applyFont="1" applyAlignment="1">
      <alignment wrapText="1"/>
    </xf>
    <xf numFmtId="0" fontId="13" fillId="0" borderId="0" xfId="8" applyFont="1"/>
    <xf numFmtId="0" fontId="9" fillId="0" borderId="0" xfId="8" applyFont="1"/>
    <xf numFmtId="0" fontId="2" fillId="0" borderId="0" xfId="8" applyAlignment="1">
      <alignment wrapText="1"/>
    </xf>
    <xf numFmtId="0" fontId="8" fillId="0" borderId="0" xfId="8" applyFont="1" applyAlignment="1">
      <alignment vertical="top"/>
    </xf>
    <xf numFmtId="0" fontId="2" fillId="0" borderId="0" xfId="8" applyAlignment="1">
      <alignment vertical="top"/>
    </xf>
    <xf numFmtId="0" fontId="9" fillId="0" borderId="0" xfId="8" applyFont="1" applyAlignment="1">
      <alignment vertical="top"/>
    </xf>
    <xf numFmtId="0" fontId="9" fillId="0" borderId="0" xfId="8" applyFont="1" applyAlignment="1">
      <alignment horizontal="center" vertical="top" wrapText="1"/>
    </xf>
    <xf numFmtId="167" fontId="3" fillId="0" borderId="0" xfId="0" applyNumberFormat="1" applyFont="1"/>
    <xf numFmtId="165" fontId="9" fillId="0" borderId="0" xfId="0" applyNumberFormat="1" applyFont="1"/>
    <xf numFmtId="0" fontId="6" fillId="0" borderId="10" xfId="0" applyFont="1" applyBorder="1" applyAlignment="1">
      <alignment horizontal="right" vertical="center"/>
    </xf>
    <xf numFmtId="0" fontId="6" fillId="0" borderId="5" xfId="0" applyFont="1" applyBorder="1" applyAlignment="1">
      <alignment horizontal="right" wrapText="1"/>
    </xf>
    <xf numFmtId="0" fontId="6" fillId="0" borderId="11" xfId="0" applyFont="1" applyBorder="1" applyAlignment="1">
      <alignment horizontal="right" wrapText="1"/>
    </xf>
    <xf numFmtId="0" fontId="6" fillId="0" borderId="4" xfId="0" applyFont="1" applyBorder="1" applyAlignment="1">
      <alignment horizontal="right"/>
    </xf>
    <xf numFmtId="0" fontId="9" fillId="0" borderId="4" xfId="0" applyFont="1" applyBorder="1" applyAlignment="1">
      <alignment horizontal="right"/>
    </xf>
    <xf numFmtId="0" fontId="10" fillId="0" borderId="0" xfId="8" applyFont="1" applyAlignment="1">
      <alignment vertical="top"/>
    </xf>
    <xf numFmtId="0" fontId="4" fillId="0" borderId="7" xfId="0" applyFont="1" applyBorder="1" applyAlignment="1">
      <alignment vertical="center" wrapText="1"/>
    </xf>
    <xf numFmtId="0" fontId="4" fillId="0" borderId="0" xfId="0" applyFont="1" applyAlignment="1">
      <alignment vertical="center" wrapText="1"/>
    </xf>
    <xf numFmtId="0" fontId="3" fillId="0" borderId="0" xfId="0" applyFont="1" applyAlignment="1">
      <alignment vertical="top" wrapText="1"/>
    </xf>
    <xf numFmtId="0" fontId="3" fillId="0" borderId="0" xfId="0" applyFont="1"/>
    <xf numFmtId="0" fontId="6" fillId="0" borderId="0" xfId="8" applyFont="1"/>
    <xf numFmtId="0" fontId="2" fillId="0" borderId="0" xfId="8" applyAlignment="1">
      <alignment horizontal="center" vertical="top" wrapText="1"/>
    </xf>
    <xf numFmtId="0" fontId="16" fillId="0" borderId="0" xfId="8" applyFont="1"/>
    <xf numFmtId="0" fontId="16" fillId="0" borderId="0" xfId="8" applyFont="1" applyAlignment="1">
      <alignment vertical="top"/>
    </xf>
    <xf numFmtId="0" fontId="12" fillId="0" borderId="0" xfId="7"/>
    <xf numFmtId="0" fontId="12" fillId="0" borderId="0" xfId="7" applyFill="1" applyAlignment="1">
      <alignment vertical="top" wrapText="1"/>
    </xf>
    <xf numFmtId="0" fontId="8" fillId="0" borderId="0" xfId="17" applyAlignment="1"/>
    <xf numFmtId="0" fontId="6" fillId="0" borderId="0" xfId="18"/>
    <xf numFmtId="0" fontId="10" fillId="0" borderId="0" xfId="19"/>
    <xf numFmtId="0" fontId="10" fillId="0" borderId="0" xfId="19" applyAlignment="1">
      <alignment wrapText="1"/>
    </xf>
    <xf numFmtId="0" fontId="8" fillId="0" borderId="0" xfId="17" applyAlignment="1">
      <alignment vertical="top"/>
    </xf>
    <xf numFmtId="0" fontId="6" fillId="0" borderId="0" xfId="18" applyAlignment="1">
      <alignment vertical="top" wrapText="1"/>
    </xf>
    <xf numFmtId="0" fontId="6" fillId="0" borderId="0" xfId="18" applyAlignment="1">
      <alignment vertical="top"/>
    </xf>
    <xf numFmtId="0" fontId="10" fillId="0" borderId="0" xfId="0" applyFont="1"/>
    <xf numFmtId="0" fontId="9" fillId="0" borderId="0" xfId="8" applyFont="1" applyAlignment="1">
      <alignment wrapText="1"/>
    </xf>
    <xf numFmtId="0" fontId="9" fillId="0" borderId="0" xfId="8" applyFont="1" applyAlignment="1">
      <alignment horizontal="left" vertical="top"/>
    </xf>
    <xf numFmtId="0" fontId="9" fillId="0" borderId="0" xfId="8" applyFont="1" applyAlignment="1">
      <alignment horizontal="left" vertical="top" wrapText="1"/>
    </xf>
    <xf numFmtId="0" fontId="6" fillId="0" borderId="6" xfId="0" applyFont="1" applyBorder="1" applyAlignment="1">
      <alignment horizontal="right" vertical="center"/>
    </xf>
    <xf numFmtId="0" fontId="6" fillId="0" borderId="1" xfId="0" applyFont="1" applyBorder="1" applyAlignment="1">
      <alignment horizontal="right"/>
    </xf>
    <xf numFmtId="0" fontId="9" fillId="0" borderId="1" xfId="0" applyFont="1" applyBorder="1" applyAlignment="1">
      <alignment horizontal="right"/>
    </xf>
    <xf numFmtId="3" fontId="3" fillId="0" borderId="0" xfId="0" applyNumberFormat="1" applyFont="1" applyAlignment="1">
      <alignment vertical="top" wrapText="1"/>
    </xf>
    <xf numFmtId="165" fontId="9" fillId="0" borderId="1" xfId="0" applyNumberFormat="1" applyFont="1" applyBorder="1"/>
    <xf numFmtId="165" fontId="9" fillId="0" borderId="3" xfId="0" applyNumberFormat="1" applyFont="1" applyBorder="1"/>
    <xf numFmtId="4" fontId="6" fillId="0" borderId="2" xfId="0" applyNumberFormat="1" applyFont="1" applyBorder="1"/>
    <xf numFmtId="4" fontId="6" fillId="0" borderId="7" xfId="0" applyNumberFormat="1" applyFont="1" applyBorder="1"/>
    <xf numFmtId="4" fontId="6" fillId="0" borderId="8" xfId="0" applyNumberFormat="1" applyFont="1" applyBorder="1"/>
    <xf numFmtId="4" fontId="9" fillId="0" borderId="1" xfId="0" applyNumberFormat="1" applyFont="1" applyBorder="1"/>
    <xf numFmtId="4" fontId="9" fillId="0" borderId="0" xfId="0" applyNumberFormat="1" applyFont="1"/>
    <xf numFmtId="4" fontId="9" fillId="0" borderId="3" xfId="0" applyNumberFormat="1" applyFont="1" applyBorder="1"/>
    <xf numFmtId="0" fontId="22" fillId="0" borderId="1" xfId="0" applyFont="1" applyBorder="1" applyAlignment="1">
      <alignment horizontal="right"/>
    </xf>
    <xf numFmtId="165" fontId="6" fillId="0" borderId="2" xfId="0" applyNumberFormat="1" applyFont="1" applyBorder="1"/>
    <xf numFmtId="165" fontId="6" fillId="0" borderId="7" xfId="0" applyNumberFormat="1" applyFont="1" applyBorder="1"/>
    <xf numFmtId="165" fontId="6" fillId="0" borderId="8" xfId="0" applyNumberFormat="1" applyFont="1" applyBorder="1"/>
    <xf numFmtId="165" fontId="6" fillId="0" borderId="1" xfId="0" applyNumberFormat="1" applyFont="1" applyBorder="1"/>
    <xf numFmtId="165" fontId="6" fillId="0" borderId="0" xfId="0" applyNumberFormat="1" applyFont="1"/>
    <xf numFmtId="165" fontId="6" fillId="0" borderId="3" xfId="0" applyNumberFormat="1" applyFont="1" applyBorder="1"/>
    <xf numFmtId="4" fontId="6" fillId="0" borderId="1" xfId="0" applyNumberFormat="1" applyFont="1" applyBorder="1"/>
    <xf numFmtId="4" fontId="6" fillId="0" borderId="0" xfId="0" applyNumberFormat="1" applyFont="1"/>
    <xf numFmtId="4" fontId="6" fillId="0" borderId="3" xfId="0" applyNumberFormat="1" applyFont="1" applyBorder="1"/>
    <xf numFmtId="0" fontId="9" fillId="0" borderId="0" xfId="8" applyFont="1" applyAlignment="1">
      <alignment vertical="top" wrapText="1"/>
    </xf>
    <xf numFmtId="49" fontId="9" fillId="0" borderId="0" xfId="8" applyNumberFormat="1" applyFont="1" applyAlignment="1">
      <alignment vertical="top" wrapText="1"/>
    </xf>
    <xf numFmtId="0" fontId="12" fillId="0" borderId="0" xfId="7" applyAlignment="1">
      <alignment horizontal="left" vertical="center" wrapText="1"/>
    </xf>
    <xf numFmtId="169" fontId="0" fillId="0" borderId="0" xfId="0" applyNumberFormat="1"/>
    <xf numFmtId="169" fontId="0" fillId="2" borderId="0" xfId="0" applyNumberFormat="1" applyFill="1"/>
  </cellXfs>
  <cellStyles count="20">
    <cellStyle name="Comma" xfId="1" builtinId="3" customBuiltin="1"/>
    <cellStyle name="Comma 2" xfId="4" xr:uid="{00000000-0005-0000-0000-000001000000}"/>
    <cellStyle name="Heading 1" xfId="14" builtinId="16" hidden="1"/>
    <cellStyle name="Heading 1" xfId="17" builtinId="16"/>
    <cellStyle name="Heading 1 2" xfId="13" xr:uid="{00000000-0005-0000-0000-000003000000}"/>
    <cellStyle name="Heading 2" xfId="15" builtinId="17" hidden="1"/>
    <cellStyle name="Heading 2" xfId="18" builtinId="17"/>
    <cellStyle name="Heading 3" xfId="16" builtinId="18" hidden="1"/>
    <cellStyle name="Hyperlink" xfId="7" builtinId="8" customBuiltin="1"/>
    <cellStyle name="Hyperlink 2" xfId="9" xr:uid="{00000000-0005-0000-0000-000005000000}"/>
    <cellStyle name="Normal" xfId="0" builtinId="0" customBuiltin="1"/>
    <cellStyle name="Normal 2" xfId="5" xr:uid="{00000000-0005-0000-0000-000007000000}"/>
    <cellStyle name="Normal 3" xfId="6" xr:uid="{00000000-0005-0000-0000-000008000000}"/>
    <cellStyle name="Normal 3 2" xfId="10" xr:uid="{00000000-0005-0000-0000-000009000000}"/>
    <cellStyle name="Normal 4" xfId="8" xr:uid="{00000000-0005-0000-0000-00000A000000}"/>
    <cellStyle name="Normal 5" xfId="11" xr:uid="{00000000-0005-0000-0000-00000B000000}"/>
    <cellStyle name="Normal 6" xfId="12" xr:uid="{00000000-0005-0000-0000-00000C000000}"/>
    <cellStyle name="Paragraph" xfId="19" xr:uid="{AE5232E2-FE61-4BE4-B21B-5FA5A3C78F09}"/>
    <cellStyle name="Per cent" xfId="2" builtinId="5"/>
    <cellStyle name="Percent 2" xfId="3" xr:uid="{00000000-0005-0000-0000-00000E000000}"/>
  </cellStyles>
  <dxfs count="44">
    <dxf>
      <font>
        <strike val="0"/>
        <outline val="0"/>
        <shadow val="0"/>
        <u val="none"/>
        <vertAlign val="baseline"/>
        <sz val="12"/>
        <name val="Arial"/>
        <family val="2"/>
        <scheme val="none"/>
      </font>
      <numFmt numFmtId="4" formatCode="#,##0.00"/>
      <border diagonalUp="0" diagonalDown="0" outline="0">
        <left/>
        <right style="medium">
          <color indexed="64"/>
        </right>
        <top/>
        <bottom/>
      </border>
    </dxf>
    <dxf>
      <font>
        <strike val="0"/>
        <outline val="0"/>
        <shadow val="0"/>
        <u val="none"/>
        <vertAlign val="baseline"/>
        <sz val="12"/>
        <name val="Arial"/>
        <family val="2"/>
        <scheme val="none"/>
      </font>
      <numFmt numFmtId="4" formatCode="#,##0.00"/>
    </dxf>
    <dxf>
      <font>
        <strike val="0"/>
        <outline val="0"/>
        <shadow val="0"/>
        <u val="none"/>
        <vertAlign val="baseline"/>
        <sz val="12"/>
        <name val="Arial"/>
        <family val="2"/>
        <scheme val="none"/>
      </font>
      <numFmt numFmtId="4" formatCode="#,##0.00"/>
      <border diagonalUp="0" diagonalDown="0" outline="0">
        <left style="medium">
          <color indexed="64"/>
        </left>
        <right/>
        <top/>
        <bottom/>
      </border>
    </dxf>
    <dxf>
      <font>
        <b val="0"/>
        <i val="0"/>
        <strike val="0"/>
        <condense val="0"/>
        <extend val="0"/>
        <outline val="0"/>
        <shadow val="0"/>
        <u val="none"/>
        <vertAlign val="baseline"/>
        <sz val="12"/>
        <color auto="1"/>
        <name val="Arial"/>
        <family val="2"/>
        <scheme val="none"/>
      </font>
      <fill>
        <patternFill patternType="solid">
          <fgColor indexed="64"/>
          <bgColor rgb="FFFFFF00"/>
        </patternFill>
      </fill>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border diagonalUp="0" diagonalDown="0">
        <left style="medium">
          <color indexed="64"/>
        </left>
        <right style="medium">
          <color indexed="64"/>
        </right>
        <top/>
        <bottom/>
        <vertical/>
        <horizontal/>
      </border>
    </dxf>
    <dxf>
      <border>
        <bottom style="medium">
          <color rgb="FF000000"/>
        </bottom>
      </border>
    </dxf>
    <dxf>
      <border outline="0">
        <left style="medium">
          <color rgb="FF000000"/>
        </left>
        <right style="medium">
          <color rgb="FF000000"/>
        </right>
        <top style="medium">
          <color rgb="FF000000"/>
        </top>
        <bottom style="medium">
          <color rgb="FF000000"/>
        </bottom>
      </border>
    </dxf>
    <dxf>
      <font>
        <strike val="0"/>
        <outline val="0"/>
        <shadow val="0"/>
        <u val="none"/>
        <vertAlign val="baseline"/>
        <sz val="12"/>
        <name val="Arial"/>
        <scheme val="none"/>
      </font>
    </dxf>
    <dxf>
      <font>
        <strike val="0"/>
        <outline val="0"/>
        <shadow val="0"/>
        <u val="none"/>
        <vertAlign val="baseline"/>
        <sz val="12"/>
        <name val="Arial"/>
        <scheme val="none"/>
      </font>
      <border diagonalUp="0" diagonalDown="0">
        <left style="medium">
          <color auto="1"/>
        </left>
        <right style="medium">
          <color auto="1"/>
        </right>
        <top/>
        <bottom/>
        <vertical style="medium">
          <color auto="1"/>
        </vertical>
        <horizontal/>
      </border>
    </dxf>
    <dxf>
      <font>
        <strike val="0"/>
        <outline val="0"/>
        <shadow val="0"/>
        <u val="none"/>
        <vertAlign val="baseline"/>
        <sz val="12"/>
        <name val="Arial"/>
        <family val="2"/>
        <scheme val="none"/>
      </font>
      <numFmt numFmtId="165" formatCode="#,##0.0"/>
      <border diagonalUp="0" diagonalDown="0" outline="0">
        <left/>
        <right style="medium">
          <color indexed="64"/>
        </right>
        <top/>
        <bottom/>
      </border>
    </dxf>
    <dxf>
      <font>
        <strike val="0"/>
        <outline val="0"/>
        <shadow val="0"/>
        <u val="none"/>
        <vertAlign val="baseline"/>
        <sz val="12"/>
        <name val="Arial"/>
        <family val="2"/>
        <scheme val="none"/>
      </font>
      <numFmt numFmtId="165" formatCode="#,##0.0"/>
    </dxf>
    <dxf>
      <font>
        <strike val="0"/>
        <outline val="0"/>
        <shadow val="0"/>
        <u val="none"/>
        <vertAlign val="baseline"/>
        <sz val="12"/>
        <name val="Arial"/>
        <family val="2"/>
        <scheme val="none"/>
      </font>
      <numFmt numFmtId="165" formatCode="#,##0.0"/>
      <border diagonalUp="0" diagonalDown="0" outline="0">
        <left style="medium">
          <color indexed="64"/>
        </left>
        <right/>
        <top/>
        <bottom/>
      </border>
    </dxf>
    <dxf>
      <font>
        <b val="0"/>
        <i val="0"/>
        <strike val="0"/>
        <condense val="0"/>
        <extend val="0"/>
        <outline val="0"/>
        <shadow val="0"/>
        <u val="none"/>
        <vertAlign val="baseline"/>
        <sz val="12"/>
        <color auto="1"/>
        <name val="Arial"/>
        <family val="2"/>
        <scheme val="none"/>
      </font>
      <fill>
        <patternFill patternType="solid">
          <fgColor indexed="64"/>
          <bgColor rgb="FFFFFF00"/>
        </patternFill>
      </fill>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border diagonalUp="0" diagonalDown="0">
        <left style="medium">
          <color indexed="64"/>
        </left>
        <right style="medium">
          <color indexed="64"/>
        </right>
        <top/>
        <bottom/>
        <vertical/>
        <horizontal/>
      </border>
    </dxf>
    <dxf>
      <border outline="0">
        <left style="medium">
          <color rgb="FF000000"/>
        </left>
        <right style="medium">
          <color rgb="FF000000"/>
        </right>
        <top style="medium">
          <color rgb="FF000000"/>
        </top>
        <bottom style="medium">
          <color rgb="FF000000"/>
        </bottom>
      </border>
    </dxf>
    <dxf>
      <font>
        <strike val="0"/>
        <outline val="0"/>
        <shadow val="0"/>
        <u val="none"/>
        <vertAlign val="baseline"/>
        <sz val="12"/>
        <name val="Arial"/>
        <scheme val="none"/>
      </font>
    </dxf>
    <dxf>
      <border>
        <bottom style="medium">
          <color rgb="FF000000"/>
        </bottom>
      </border>
    </dxf>
    <dxf>
      <font>
        <strike val="0"/>
        <outline val="0"/>
        <shadow val="0"/>
        <u val="none"/>
        <vertAlign val="baseline"/>
        <sz val="12"/>
        <name val="Arial"/>
        <scheme val="none"/>
      </font>
      <border diagonalUp="0" diagonalDown="0">
        <left style="medium">
          <color auto="1"/>
        </left>
        <right style="medium">
          <color auto="1"/>
        </right>
        <top/>
        <bottom/>
        <vertical style="medium">
          <color auto="1"/>
        </vertical>
        <horizontal/>
      </border>
    </dxf>
    <dxf>
      <font>
        <strike val="0"/>
        <outline val="0"/>
        <shadow val="0"/>
        <u val="none"/>
        <vertAlign val="baseline"/>
        <sz val="12"/>
        <name val="Arial"/>
        <family val="2"/>
        <scheme val="none"/>
      </font>
      <numFmt numFmtId="165" formatCode="#,##0.0"/>
      <border diagonalUp="0" diagonalDown="0" outline="0">
        <left/>
        <right style="medium">
          <color indexed="64"/>
        </right>
        <top/>
        <bottom/>
      </border>
    </dxf>
    <dxf>
      <font>
        <strike val="0"/>
        <outline val="0"/>
        <shadow val="0"/>
        <u val="none"/>
        <vertAlign val="baseline"/>
        <sz val="12"/>
        <name val="Arial"/>
        <family val="2"/>
        <scheme val="none"/>
      </font>
      <numFmt numFmtId="165" formatCode="#,##0.0"/>
    </dxf>
    <dxf>
      <font>
        <strike val="0"/>
        <outline val="0"/>
        <shadow val="0"/>
        <u val="none"/>
        <vertAlign val="baseline"/>
        <sz val="12"/>
        <name val="Arial"/>
        <family val="2"/>
        <scheme val="none"/>
      </font>
      <numFmt numFmtId="165" formatCode="#,##0.0"/>
      <border diagonalUp="0" diagonalDown="0" outline="0">
        <left style="medium">
          <color indexed="64"/>
        </left>
        <right/>
        <top/>
        <bottom/>
      </border>
    </dxf>
    <dxf>
      <font>
        <b val="0"/>
        <i val="0"/>
        <strike val="0"/>
        <condense val="0"/>
        <extend val="0"/>
        <outline val="0"/>
        <shadow val="0"/>
        <u val="none"/>
        <vertAlign val="baseline"/>
        <sz val="12"/>
        <color auto="1"/>
        <name val="Arial"/>
        <family val="2"/>
        <scheme val="none"/>
      </font>
      <fill>
        <patternFill patternType="solid">
          <fgColor indexed="64"/>
          <bgColor rgb="FFFFFF00"/>
        </patternFill>
      </fill>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border diagonalUp="0" diagonalDown="0">
        <left style="medium">
          <color indexed="64"/>
        </left>
        <right style="medium">
          <color indexed="64"/>
        </right>
        <top/>
        <bottom/>
        <vertical/>
        <horizontal/>
      </border>
    </dxf>
    <dxf>
      <border outline="0">
        <left style="medium">
          <color rgb="FF000000"/>
        </left>
        <right style="medium">
          <color rgb="FF000000"/>
        </right>
        <top style="medium">
          <color rgb="FF000000"/>
        </top>
        <bottom style="medium">
          <color rgb="FF000000"/>
        </bottom>
      </border>
    </dxf>
    <dxf>
      <font>
        <strike val="0"/>
        <outline val="0"/>
        <shadow val="0"/>
        <u val="none"/>
        <vertAlign val="baseline"/>
        <sz val="12"/>
        <name val="Arial"/>
        <scheme val="none"/>
      </font>
    </dxf>
    <dxf>
      <border>
        <bottom style="medium">
          <color rgb="FF000000"/>
        </bottom>
      </border>
    </dxf>
    <dxf>
      <font>
        <strike val="0"/>
        <outline val="0"/>
        <shadow val="0"/>
        <u val="none"/>
        <vertAlign val="baseline"/>
        <sz val="12"/>
        <name val="Arial"/>
        <scheme val="none"/>
      </font>
      <border diagonalUp="0" diagonalDown="0">
        <left style="medium">
          <color auto="1"/>
        </left>
        <right style="medium">
          <color auto="1"/>
        </right>
        <top/>
        <bottom/>
        <vertical style="medium">
          <color auto="1"/>
        </vertical>
        <horizontal/>
      </border>
    </dxf>
    <dxf>
      <font>
        <strike val="0"/>
        <outline val="0"/>
        <shadow val="0"/>
        <u val="none"/>
        <vertAlign val="baseline"/>
        <sz val="12"/>
        <name val="Arial"/>
        <family val="2"/>
        <scheme val="none"/>
      </font>
      <numFmt numFmtId="165" formatCode="#,##0.0"/>
      <border diagonalUp="0" diagonalDown="0" outline="0">
        <left/>
        <right style="medium">
          <color indexed="64"/>
        </right>
        <top/>
        <bottom/>
      </border>
    </dxf>
    <dxf>
      <font>
        <strike val="0"/>
        <outline val="0"/>
        <shadow val="0"/>
        <u val="none"/>
        <vertAlign val="baseline"/>
        <sz val="12"/>
        <name val="Arial"/>
        <family val="2"/>
        <scheme val="none"/>
      </font>
      <numFmt numFmtId="165" formatCode="#,##0.0"/>
    </dxf>
    <dxf>
      <font>
        <strike val="0"/>
        <outline val="0"/>
        <shadow val="0"/>
        <u val="none"/>
        <vertAlign val="baseline"/>
        <sz val="12"/>
        <name val="Arial"/>
        <family val="2"/>
        <scheme val="none"/>
      </font>
      <numFmt numFmtId="165" formatCode="#,##0.0"/>
      <border diagonalUp="0" diagonalDown="0" outline="0">
        <left style="medium">
          <color indexed="64"/>
        </left>
        <right/>
        <top/>
        <bottom/>
      </border>
    </dxf>
    <dxf>
      <font>
        <b val="0"/>
        <i val="0"/>
        <strike val="0"/>
        <condense val="0"/>
        <extend val="0"/>
        <outline val="0"/>
        <shadow val="0"/>
        <u val="none"/>
        <vertAlign val="baseline"/>
        <sz val="12"/>
        <color auto="1"/>
        <name val="Arial"/>
        <family val="2"/>
        <scheme val="none"/>
      </font>
      <fill>
        <patternFill patternType="solid">
          <fgColor indexed="64"/>
          <bgColor rgb="FFFFFF00"/>
        </patternFill>
      </fill>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2"/>
        <color auto="1"/>
        <name val="Arial"/>
        <scheme val="none"/>
      </font>
      <alignment horizontal="right" vertical="bottom" textRotation="0" wrapText="0" indent="0" justifyLastLine="0" shrinkToFit="0" readingOrder="0"/>
      <border diagonalUp="0" diagonalDown="0">
        <left style="medium">
          <color indexed="64"/>
        </left>
        <right style="medium">
          <color indexed="64"/>
        </right>
        <top style="medium">
          <color auto="1"/>
        </top>
        <bottom style="medium">
          <color auto="1"/>
        </bottom>
        <vertical/>
        <horizontal style="medium">
          <color auto="1"/>
        </horizontal>
      </border>
    </dxf>
    <dxf>
      <border outline="0">
        <left style="medium">
          <color indexed="64"/>
        </left>
        <right style="medium">
          <color indexed="64"/>
        </right>
        <top style="medium">
          <color indexed="64"/>
        </top>
        <bottom style="medium">
          <color indexed="64"/>
        </bottom>
      </border>
    </dxf>
    <dxf>
      <font>
        <strike val="0"/>
        <outline val="0"/>
        <shadow val="0"/>
        <u val="none"/>
        <vertAlign val="baseline"/>
        <sz val="12"/>
        <name val="Arial"/>
        <scheme val="none"/>
      </font>
    </dxf>
    <dxf>
      <border>
        <bottom style="medium">
          <color indexed="64"/>
        </bottom>
      </border>
    </dxf>
    <dxf>
      <font>
        <strike val="0"/>
        <outline val="0"/>
        <shadow val="0"/>
        <u val="none"/>
        <vertAlign val="baseline"/>
        <sz val="12"/>
        <name val="Arial"/>
        <scheme val="none"/>
      </font>
      <border diagonalUp="0" diagonalDown="0">
        <left style="medium">
          <color auto="1"/>
        </left>
        <right style="medium">
          <color auto="1"/>
        </right>
        <top/>
        <bottom/>
        <vertical style="medium">
          <color auto="1"/>
        </vertical>
        <horizontal/>
      </border>
    </dxf>
    <dxf>
      <font>
        <b val="0"/>
        <i val="0"/>
        <strike val="0"/>
        <condense val="0"/>
        <extend val="0"/>
        <outline val="0"/>
        <shadow val="0"/>
        <u/>
        <vertAlign val="baseline"/>
        <sz val="12"/>
        <color theme="10"/>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alignment horizontal="general" textRotation="0" wrapText="1" indent="0" justifyLastLine="0" shrinkToFit="0" readingOrder="0"/>
    </dxf>
    <dxf>
      <alignment horizontal="center"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alignment horizontal="general" vertical="top" textRotation="0" indent="0" justifyLastLine="0" shrinkToFit="0" readingOrder="0"/>
    </dxf>
    <dxf>
      <font>
        <strike val="0"/>
        <outline val="0"/>
        <shadow val="0"/>
        <u val="none"/>
        <vertAlign val="baseline"/>
        <sz val="12"/>
        <color auto="1"/>
        <name val="Arial"/>
        <family val="2"/>
        <scheme val="none"/>
      </font>
    </dxf>
  </dxfs>
  <tableStyles count="0" defaultPivotStyle="PivotStyleLight16"/>
  <colors>
    <mruColors>
      <color rgb="FFB30000"/>
      <color rgb="FF456F66"/>
      <color rgb="FF32504A"/>
      <color rgb="FFA3C5BF"/>
      <color rgb="FF659F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scotsconnect.sharepoint.com/sites/AgriculturalAnalysisUnit-SG/Shared%20Documents/Economic%20Statistics/GHG%20emissions%20and%20N%20use%20report/Farm%20Business%20Survey%202022-23%20-%20Tables%20-%20Carbon%20and%20Nitrogen%20tables%20data%20-%20using%20calculated%20variable.xlsx" TargetMode="External"/><Relationship Id="rId2" Type="http://schemas.microsoft.com/office/2019/04/relationships/externalLinkLongPath" Target="Farm%20Business%20Survey%202022-23%20-%20Tables%20-%20Carbon%20and%20Nitrogen%20tables%20data%20-%20using%20calculated%20variable.xlsx?4C076D1F" TargetMode="External"/><Relationship Id="rId1" Type="http://schemas.openxmlformats.org/officeDocument/2006/relationships/externalLinkPath" Target="file:///\\4C076D1F\Farm%20Business%20Survey%202022-23%20-%20Tables%20-%20Carbon%20and%20Nitrogen%20tables%20data%20-%20using%20calculated%20variab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CO2e_per_ha"/>
      <sheetName val="CO2e_per_kg"/>
      <sheetName val="N_surplus"/>
      <sheetName val="NUE"/>
      <sheetName val="NUE100"/>
    </sheetNames>
    <sheetDataSet>
      <sheetData sheetId="0">
        <row r="2">
          <cell r="C2">
            <v>4.4494999999999996</v>
          </cell>
          <cell r="D2">
            <v>4.2779999999999996</v>
          </cell>
          <cell r="E2">
            <v>4.2720000000000002</v>
          </cell>
        </row>
        <row r="3">
          <cell r="C3">
            <v>3.0629541681318471</v>
          </cell>
          <cell r="D3">
            <v>2.8150795767418288</v>
          </cell>
          <cell r="E3">
            <v>2.5087519331980599</v>
          </cell>
        </row>
        <row r="4">
          <cell r="C4">
            <v>6.8924435427110522</v>
          </cell>
          <cell r="D4">
            <v>6.6539995354247532</v>
          </cell>
          <cell r="E4">
            <v>6.5539372287803728</v>
          </cell>
        </row>
        <row r="5">
          <cell r="C5">
            <v>2.774</v>
          </cell>
          <cell r="D5">
            <v>2.4975000000000001</v>
          </cell>
          <cell r="E5">
            <v>2.839</v>
          </cell>
        </row>
        <row r="6">
          <cell r="C6">
            <v>2.0083443976704429</v>
          </cell>
          <cell r="D6">
            <v>1.5470479936123549</v>
          </cell>
          <cell r="E6">
            <v>2.429772294110994</v>
          </cell>
        </row>
        <row r="7">
          <cell r="C7">
            <v>3.5023967512094041</v>
          </cell>
          <cell r="D7">
            <v>3.2811731407872888</v>
          </cell>
          <cell r="E7">
            <v>3.6653611702908862</v>
          </cell>
        </row>
        <row r="8">
          <cell r="C8">
            <v>3.2040000000000002</v>
          </cell>
          <cell r="D8">
            <v>3.1509999999999998</v>
          </cell>
          <cell r="E8">
            <v>2.6194999999999999</v>
          </cell>
        </row>
        <row r="9">
          <cell r="C9">
            <v>2.377361229103045</v>
          </cell>
          <cell r="D9">
            <v>2.2992860544295879</v>
          </cell>
          <cell r="E9">
            <v>2.1823313872036669</v>
          </cell>
        </row>
        <row r="10">
          <cell r="C10">
            <v>3.7571358162265001</v>
          </cell>
          <cell r="D10">
            <v>3.5911438454428319</v>
          </cell>
          <cell r="E10">
            <v>3.4062280344914662</v>
          </cell>
        </row>
        <row r="11">
          <cell r="C11">
            <v>17.7075</v>
          </cell>
          <cell r="D11">
            <v>17.856000000000002</v>
          </cell>
          <cell r="E11">
            <v>17.167999999999999</v>
          </cell>
        </row>
        <row r="12">
          <cell r="C12">
            <v>14.02922928046145</v>
          </cell>
          <cell r="D12">
            <v>15.35988871632501</v>
          </cell>
          <cell r="E12">
            <v>15.39600985521164</v>
          </cell>
        </row>
        <row r="13">
          <cell r="C13">
            <v>22.802154286585161</v>
          </cell>
          <cell r="D13">
            <v>22.469768555319941</v>
          </cell>
          <cell r="E13">
            <v>21.407637834753299</v>
          </cell>
        </row>
        <row r="26">
          <cell r="C26">
            <v>4.8689999999999998</v>
          </cell>
          <cell r="D26">
            <v>5.2835000000000001</v>
          </cell>
          <cell r="E26">
            <v>5.1124999999999998</v>
          </cell>
        </row>
        <row r="27">
          <cell r="C27">
            <v>3.8268360950523101</v>
          </cell>
          <cell r="D27">
            <v>3.5330575448747972</v>
          </cell>
          <cell r="E27">
            <v>3.2061660155401288</v>
          </cell>
        </row>
        <row r="28">
          <cell r="C28">
            <v>6.5052322943001126</v>
          </cell>
          <cell r="D28">
            <v>6.6165893078526867</v>
          </cell>
          <cell r="E28">
            <v>6.5440755424329708</v>
          </cell>
        </row>
      </sheetData>
      <sheetData sheetId="1"/>
      <sheetData sheetId="2"/>
      <sheetData sheetId="3"/>
      <sheetData sheetId="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9F75265-0CB4-4010-8BE8-60269573B9F9}" name="Cover_sheet" displayName="Cover_sheet" ref="A2:A17" totalsRowShown="0" headerRowDxfId="43" dataDxfId="42">
  <autoFilter ref="A2:A17" xr:uid="{69F75265-0CB4-4010-8BE8-60269573B9F9}">
    <filterColumn colId="0" hiddenButton="1"/>
  </autoFilter>
  <tableColumns count="1">
    <tableColumn id="1" xr3:uid="{93AD2A56-F5DE-462A-A76E-98B8FAABFFF2}" name="Information" dataDxfId="41" dataCellStyle="Normal 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notes_table" displayName="notes_table" ref="A3:B9" totalsRowShown="0" headerRowCellStyle="Heading 2">
  <tableColumns count="2">
    <tableColumn id="1" xr3:uid="{00000000-0010-0000-0000-000001000000}" name="Note number" dataDxfId="40"/>
    <tableColumn id="2" xr3:uid="{00000000-0010-0000-0000-000002000000}" name="Note text" dataDxfId="3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3AB2567-23C5-44FE-805F-FD0E758B2D2E}" name="Table_of_contents" displayName="Table_of_contents" ref="A3:C7" totalsRowShown="0" headerRowCellStyle="Heading 2">
  <autoFilter ref="A3:C7" xr:uid="{63AB2567-23C5-44FE-805F-FD0E758B2D2E}">
    <filterColumn colId="0" hiddenButton="1"/>
    <filterColumn colId="1" hiddenButton="1"/>
    <filterColumn colId="2" hiddenButton="1"/>
  </autoFilter>
  <tableColumns count="3">
    <tableColumn id="1" xr3:uid="{3693DEBE-EBD1-4062-9266-991B99525686}" name="Table number" dataDxfId="38" dataCellStyle="Normal 4"/>
    <tableColumn id="2" xr3:uid="{10194498-2E37-4394-9523-CEBE73A9FE95}" name="Table title" dataDxfId="37" dataCellStyle="Normal 4"/>
    <tableColumn id="3" xr3:uid="{AD3125A0-5791-4551-BE3E-82CC375160D5}" name="Table link" dataDxfId="36" dataCellStyle="Hyperlink"/>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_1_Area_yield_and_production_estimates_for_the_2021_Scottish_harvest" displayName="Table_1_Area_yield_and_production_estimates_for_the_2021_Scottish_harvest" ref="A6:E24" totalsRowShown="0" headerRowDxfId="35" dataDxfId="33" headerRowBorderDxfId="34" tableBorderDxfId="32">
  <autoFilter ref="A6:E24" xr:uid="{00000000-0009-0000-0100-000001000000}">
    <filterColumn colId="0" hiddenButton="1"/>
    <filterColumn colId="1" hiddenButton="1"/>
    <filterColumn colId="2" hiddenButton="1"/>
    <filterColumn colId="3" hiddenButton="1"/>
    <filterColumn colId="4" hiddenButton="1"/>
  </autoFilter>
  <tableColumns count="5">
    <tableColumn id="1" xr3:uid="{00000000-0010-0000-0100-000001000000}" name="Farm type" dataDxfId="31"/>
    <tableColumn id="5" xr3:uid="{A4F28A61-19E4-458F-B172-EA802A8A09E6}" name="Measure" dataDxfId="30"/>
    <tableColumn id="2" xr3:uid="{00000000-0010-0000-0100-000002000000}" name="2019-20" dataDxfId="29"/>
    <tableColumn id="3" xr3:uid="{00000000-0010-0000-0100-000003000000}" name="2020-21" dataDxfId="28"/>
    <tableColumn id="4" xr3:uid="{00000000-0010-0000-0100-000004000000}" name="2021-22" dataDxfId="27"/>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C81BE00-22A2-4C00-AD18-A2970CE2E704}" name="Table_1_Area_yield_and_production_estimates_for_the_2021_Scottish_harvest4" displayName="Table_1_Area_yield_and_production_estimates_for_the_2021_Scottish_harvest4" ref="A6:E24" totalsRowShown="0" headerRowDxfId="26" dataDxfId="24" headerRowBorderDxfId="25" tableBorderDxfId="23">
  <autoFilter ref="A6:E24" xr:uid="{00000000-0009-0000-0100-000001000000}">
    <filterColumn colId="0" hiddenButton="1"/>
    <filterColumn colId="1" hiddenButton="1"/>
    <filterColumn colId="2" hiddenButton="1"/>
    <filterColumn colId="3" hiddenButton="1"/>
    <filterColumn colId="4" hiddenButton="1"/>
  </autoFilter>
  <tableColumns count="5">
    <tableColumn id="1" xr3:uid="{DFEF1317-789B-40D6-8487-9C37131A5A6F}" name="Farm type" dataDxfId="22"/>
    <tableColumn id="5" xr3:uid="{EB78E63C-18D0-4335-A772-7B54147CFF76}" name="Measure" dataDxfId="21"/>
    <tableColumn id="2" xr3:uid="{2C8BA5E7-DB58-4AE0-A1D3-8D39F7615784}" name="2019-20" dataDxfId="20"/>
    <tableColumn id="3" xr3:uid="{AA27B810-F38B-4821-A708-531EE3FC5ABD}" name="2020-21" dataDxfId="19"/>
    <tableColumn id="4" xr3:uid="{E4951D48-C8E2-4FDC-8461-11D0267E30CF}" name="2021-22" dataDxfId="1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737F38B-8FE2-4570-B05F-9DD599B7B51D}" name="Table_1_Area_yield_and_production_estimates_for_the_2021_Scottish_harvest45" displayName="Table_1_Area_yield_and_production_estimates_for_the_2021_Scottish_harvest45" ref="A6:E24" totalsRowShown="0" headerRowDxfId="17" dataDxfId="15" headerRowBorderDxfId="16" tableBorderDxfId="14">
  <autoFilter ref="A6:E24" xr:uid="{00000000-0009-0000-0100-000001000000}">
    <filterColumn colId="0" hiddenButton="1"/>
    <filterColumn colId="1" hiddenButton="1"/>
    <filterColumn colId="2" hiddenButton="1"/>
    <filterColumn colId="3" hiddenButton="1"/>
    <filterColumn colId="4" hiddenButton="1"/>
  </autoFilter>
  <tableColumns count="5">
    <tableColumn id="1" xr3:uid="{1CE76AE1-DA7D-4889-B5B4-37F9B226CA3D}" name="Farm type" dataDxfId="13"/>
    <tableColumn id="5" xr3:uid="{2A726900-825A-4310-BD35-B180B2992A20}" name="Measure" dataDxfId="12"/>
    <tableColumn id="2" xr3:uid="{96D84E46-8C85-456F-A1F0-8BE1C50E6292}" name="2019-20" dataDxfId="11"/>
    <tableColumn id="3" xr3:uid="{D7157878-F01E-4C3F-AD76-7AE1C8B1A438}" name="2020-21" dataDxfId="10"/>
    <tableColumn id="4" xr3:uid="{68A7C648-78A5-4B2E-AB96-A010854414D8}" name="2021-22" dataDxfId="9"/>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0EBB286-88BD-4B67-9FAD-74A34D60CC98}" name="Table_1_Area_yield_and_production_estimates_for_the_2021_Scottish_harvest456" displayName="Table_1_Area_yield_and_production_estimates_for_the_2021_Scottish_harvest456" ref="A6:E24" totalsRowShown="0" headerRowDxfId="8" dataDxfId="7" headerRowBorderDxfId="5" tableBorderDxfId="6">
  <autoFilter ref="A6:E24" xr:uid="{00000000-0009-0000-0100-000001000000}">
    <filterColumn colId="0" hiddenButton="1"/>
    <filterColumn colId="1" hiddenButton="1"/>
    <filterColumn colId="2" hiddenButton="1"/>
    <filterColumn colId="3" hiddenButton="1"/>
    <filterColumn colId="4" hiddenButton="1"/>
  </autoFilter>
  <tableColumns count="5">
    <tableColumn id="1" xr3:uid="{C1787E7D-F2EC-4DE1-B9F7-69021468C361}" name="Farm type" dataDxfId="4"/>
    <tableColumn id="5" xr3:uid="{10341DA0-B66E-4529-A911-B7BD03309E17}" name="Measure" dataDxfId="3"/>
    <tableColumn id="2" xr3:uid="{CB3E493A-FC1F-479E-97FA-2716D8924AD5}" name="2019-20" dataDxfId="2"/>
    <tableColumn id="3" xr3:uid="{096643AF-4CD8-4F8F-8F2C-EE30EA9A67C2}" name="2020-21" dataDxfId="1"/>
    <tableColumn id="4" xr3:uid="{105822E8-80F2-473D-BD3D-1601E5963B7E}" name="2021-22"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no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no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ov.scot/publications/farm-business-survey-2021-22-farm-level-emissions-and-nitrogen-usage-methodology/" TargetMode="External"/><Relationship Id="rId2" Type="http://schemas.openxmlformats.org/officeDocument/2006/relationships/hyperlink" Target="https://www.gov.scot/publications/farm-business-survey-2021-22-farm-level-emissions-and-nitrogen-usage/" TargetMode="External"/><Relationship Id="rId1" Type="http://schemas.openxmlformats.org/officeDocument/2006/relationships/hyperlink" Target="mailto:agric.stats@gov.scot" TargetMode="External"/><Relationship Id="rId6" Type="http://schemas.openxmlformats.org/officeDocument/2006/relationships/table" Target="../tables/table1.xml"/><Relationship Id="rId5" Type="http://schemas.openxmlformats.org/officeDocument/2006/relationships/printerSettings" Target="../printerSettings/printerSettings1.bin"/><Relationship Id="rId4" Type="http://schemas.openxmlformats.org/officeDocument/2006/relationships/hyperlink" Target="https://www.gov.scot/about/contact-information/media-enquiries/"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
  <sheetViews>
    <sheetView showGridLines="0" zoomScaleNormal="100" workbookViewId="0"/>
  </sheetViews>
  <sheetFormatPr defaultColWidth="8.6328125" defaultRowHeight="14.5" x14ac:dyDescent="0.35"/>
  <cols>
    <col min="1" max="1" width="112.453125" style="6" customWidth="1"/>
    <col min="2" max="2" width="68.36328125" style="6" customWidth="1"/>
    <col min="3" max="16384" width="8.6328125" style="6"/>
  </cols>
  <sheetData>
    <row r="1" spans="1:3" ht="20" x14ac:dyDescent="0.4">
      <c r="A1" s="33" t="s">
        <v>54</v>
      </c>
    </row>
    <row r="2" spans="1:3" ht="20.149999999999999" customHeight="1" x14ac:dyDescent="0.35">
      <c r="A2" s="27" t="s">
        <v>0</v>
      </c>
    </row>
    <row r="3" spans="1:3" ht="50.25" customHeight="1" x14ac:dyDescent="0.35">
      <c r="A3" s="36" t="s">
        <v>47</v>
      </c>
    </row>
    <row r="4" spans="1:3" ht="50.25" customHeight="1" x14ac:dyDescent="0.35">
      <c r="A4" s="36" t="s">
        <v>43</v>
      </c>
    </row>
    <row r="5" spans="1:3" ht="65.25" customHeight="1" x14ac:dyDescent="0.35">
      <c r="A5" s="36" t="s">
        <v>44</v>
      </c>
      <c r="C5" s="29"/>
    </row>
    <row r="6" spans="1:3" ht="49.5" customHeight="1" x14ac:dyDescent="0.35">
      <c r="A6" s="36" t="s">
        <v>46</v>
      </c>
      <c r="C6" s="29"/>
    </row>
    <row r="7" spans="1:3" ht="30.75" customHeight="1" x14ac:dyDescent="0.35">
      <c r="A7" s="66" t="s">
        <v>48</v>
      </c>
      <c r="C7" s="29"/>
    </row>
    <row r="8" spans="1:3" ht="36" customHeight="1" x14ac:dyDescent="0.35">
      <c r="A8" s="36" t="s">
        <v>19</v>
      </c>
    </row>
    <row r="9" spans="1:3" ht="18.649999999999999" customHeight="1" x14ac:dyDescent="0.35">
      <c r="A9" s="34" t="s">
        <v>17</v>
      </c>
    </row>
    <row r="10" spans="1:3" ht="20.149999999999999" customHeight="1" x14ac:dyDescent="0.35">
      <c r="A10" s="32" t="s">
        <v>54</v>
      </c>
    </row>
    <row r="11" spans="1:3" ht="20.149999999999999" customHeight="1" x14ac:dyDescent="0.35">
      <c r="A11" s="68" t="s">
        <v>55</v>
      </c>
    </row>
    <row r="12" spans="1:3" ht="20.149999999999999" customHeight="1" x14ac:dyDescent="0.35">
      <c r="A12" s="38" t="s">
        <v>21</v>
      </c>
    </row>
    <row r="13" spans="1:3" ht="20.149999999999999" customHeight="1" x14ac:dyDescent="0.35">
      <c r="A13" s="67" t="s">
        <v>53</v>
      </c>
    </row>
    <row r="14" spans="1:3" ht="20.149999999999999" customHeight="1" x14ac:dyDescent="0.35">
      <c r="A14" s="39" t="s">
        <v>20</v>
      </c>
    </row>
    <row r="15" spans="1:3" ht="20.149999999999999" customHeight="1" x14ac:dyDescent="0.35">
      <c r="A15" s="32" t="s">
        <v>23</v>
      </c>
      <c r="B15" s="7"/>
    </row>
    <row r="16" spans="1:3" ht="20.149999999999999" customHeight="1" x14ac:dyDescent="0.35">
      <c r="A16" s="39" t="s">
        <v>22</v>
      </c>
      <c r="B16" s="8"/>
    </row>
    <row r="17" spans="1:2" ht="20.149999999999999" customHeight="1" x14ac:dyDescent="0.35">
      <c r="A17" s="32" t="s">
        <v>56</v>
      </c>
      <c r="B17" s="10"/>
    </row>
    <row r="18" spans="1:2" x14ac:dyDescent="0.35">
      <c r="B18" s="10"/>
    </row>
    <row r="19" spans="1:2" x14ac:dyDescent="0.35">
      <c r="B19" s="10"/>
    </row>
    <row r="20" spans="1:2" x14ac:dyDescent="0.35">
      <c r="B20" s="10"/>
    </row>
    <row r="21" spans="1:2" x14ac:dyDescent="0.35">
      <c r="B21" s="10"/>
    </row>
    <row r="22" spans="1:2" x14ac:dyDescent="0.35">
      <c r="B22" s="10"/>
    </row>
    <row r="23" spans="1:2" x14ac:dyDescent="0.35">
      <c r="B23" s="10"/>
    </row>
    <row r="24" spans="1:2" x14ac:dyDescent="0.35">
      <c r="B24" s="10"/>
    </row>
  </sheetData>
  <hyperlinks>
    <hyperlink ref="A15" r:id="rId1" xr:uid="{5648C523-25DA-47DB-964D-0124A6E2CC06}"/>
    <hyperlink ref="A10" r:id="rId2" xr:uid="{33D4D328-DBBE-49DF-A538-A5668CBDEEEE}"/>
    <hyperlink ref="A11" r:id="rId3" display="https://www.gov.scot/publications/farm-business-survey-2021-22-farm-level-emissions-and-nitrogen-usage-methodology/" xr:uid="{B6DD59E3-3257-476A-BE12-64C0CA7E2DEF}"/>
    <hyperlink ref="A17" r:id="rId4" xr:uid="{32130743-17D5-45DD-BAFA-B0D11F97FDF1}"/>
  </hyperlinks>
  <pageMargins left="0.7" right="0.7" top="0.75" bottom="0.75" header="0.3" footer="0.3"/>
  <pageSetup paperSize="9" orientation="portrait" r:id="rId5"/>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showGridLines="0" workbookViewId="0"/>
  </sheetViews>
  <sheetFormatPr defaultColWidth="8.6328125" defaultRowHeight="14.5" x14ac:dyDescent="0.35"/>
  <cols>
    <col min="1" max="1" width="15.54296875" style="6" customWidth="1"/>
    <col min="2" max="2" width="170.36328125" style="10" customWidth="1"/>
    <col min="3" max="16384" width="8.6328125" style="6"/>
  </cols>
  <sheetData>
    <row r="1" spans="1:2" ht="20" x14ac:dyDescent="0.4">
      <c r="A1" s="33" t="s">
        <v>14</v>
      </c>
    </row>
    <row r="2" spans="1:2" ht="15.5" x14ac:dyDescent="0.35">
      <c r="A2" s="9" t="s">
        <v>2</v>
      </c>
    </row>
    <row r="3" spans="1:2" ht="18" customHeight="1" x14ac:dyDescent="0.35">
      <c r="A3" s="34" t="s">
        <v>15</v>
      </c>
      <c r="B3" s="34" t="s">
        <v>16</v>
      </c>
    </row>
    <row r="4" spans="1:2" ht="21.75" customHeight="1" x14ac:dyDescent="0.35">
      <c r="A4" s="42">
        <v>1</v>
      </c>
      <c r="B4" s="43" t="s">
        <v>40</v>
      </c>
    </row>
    <row r="5" spans="1:2" ht="36" customHeight="1" x14ac:dyDescent="0.35">
      <c r="A5" s="42">
        <v>2</v>
      </c>
      <c r="B5" s="43" t="s">
        <v>49</v>
      </c>
    </row>
    <row r="6" spans="1:2" ht="15.5" x14ac:dyDescent="0.35">
      <c r="A6" s="14"/>
      <c r="B6" s="41"/>
    </row>
    <row r="7" spans="1:2" ht="15.5" x14ac:dyDescent="0.35">
      <c r="A7" s="14"/>
      <c r="B7" s="41"/>
    </row>
    <row r="8" spans="1:2" ht="15.5" x14ac:dyDescent="0.35">
      <c r="A8" s="14"/>
    </row>
    <row r="9" spans="1:2" x14ac:dyDescent="0.35">
      <c r="A9" s="28"/>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
  <sheetViews>
    <sheetView showGridLines="0" zoomScaleNormal="100" workbookViewId="0"/>
  </sheetViews>
  <sheetFormatPr defaultColWidth="9.08984375" defaultRowHeight="14.5" x14ac:dyDescent="0.35"/>
  <cols>
    <col min="1" max="1" width="25" style="12" customWidth="1"/>
    <col min="2" max="2" width="111.54296875" style="12" customWidth="1"/>
    <col min="3" max="3" width="17.90625" style="12" customWidth="1"/>
    <col min="4" max="4" width="9.08984375" style="12"/>
    <col min="5" max="5" width="9.08984375" style="30"/>
    <col min="6" max="16384" width="9.08984375" style="12"/>
  </cols>
  <sheetData>
    <row r="1" spans="1:3" ht="20" x14ac:dyDescent="0.35">
      <c r="A1" s="37" t="s">
        <v>1</v>
      </c>
      <c r="B1" s="11"/>
    </row>
    <row r="2" spans="1:3" ht="15.5" x14ac:dyDescent="0.35">
      <c r="A2" s="35" t="s">
        <v>2</v>
      </c>
      <c r="B2" s="13"/>
    </row>
    <row r="3" spans="1:3" ht="24" customHeight="1" x14ac:dyDescent="0.35">
      <c r="A3" s="34" t="s">
        <v>3</v>
      </c>
      <c r="B3" s="34" t="s">
        <v>4</v>
      </c>
      <c r="C3" s="34" t="s">
        <v>5</v>
      </c>
    </row>
    <row r="4" spans="1:3" ht="22.5" customHeight="1" x14ac:dyDescent="0.35">
      <c r="A4" s="35" t="s">
        <v>6</v>
      </c>
      <c r="B4" s="35" t="s">
        <v>50</v>
      </c>
      <c r="C4" s="8" t="s">
        <v>7</v>
      </c>
    </row>
    <row r="5" spans="1:3" ht="33" customHeight="1" x14ac:dyDescent="0.35">
      <c r="A5" s="35" t="s">
        <v>8</v>
      </c>
      <c r="B5" s="35" t="s">
        <v>51</v>
      </c>
      <c r="C5" s="31" t="s">
        <v>9</v>
      </c>
    </row>
    <row r="6" spans="1:3" ht="33" customHeight="1" x14ac:dyDescent="0.35">
      <c r="A6" s="35" t="s">
        <v>10</v>
      </c>
      <c r="B6" s="35" t="s">
        <v>38</v>
      </c>
      <c r="C6" s="31" t="s">
        <v>11</v>
      </c>
    </row>
    <row r="7" spans="1:3" ht="33" customHeight="1" x14ac:dyDescent="0.35">
      <c r="A7" s="35" t="s">
        <v>12</v>
      </c>
      <c r="B7" s="35" t="s">
        <v>52</v>
      </c>
      <c r="C7" s="31" t="s">
        <v>13</v>
      </c>
    </row>
    <row r="8" spans="1:3" ht="15.5" x14ac:dyDescent="0.35">
      <c r="C8" s="22"/>
    </row>
  </sheetData>
  <hyperlinks>
    <hyperlink ref="C4" location="'Table_1'!A1" display="Table_1" xr:uid="{00000000-0004-0000-0100-000000000000}"/>
    <hyperlink ref="C5" location="Table_2!A1" display="Table_2" xr:uid="{00000000-0004-0000-0100-000001000000}"/>
    <hyperlink ref="C6" location="Table_3!A1" display="Table_3" xr:uid="{00000000-0004-0000-0100-000002000000}"/>
    <hyperlink ref="C7" location="Table_4!A1" display="Table_4" xr:uid="{00000000-0004-0000-0100-000003000000}"/>
  </hyperlink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S41"/>
  <sheetViews>
    <sheetView showGridLines="0" tabSelected="1" topLeftCell="C6" zoomScaleNormal="100" workbookViewId="0">
      <selection activeCell="S7" sqref="S7:S24"/>
    </sheetView>
  </sheetViews>
  <sheetFormatPr defaultRowHeight="14.5" x14ac:dyDescent="0.35"/>
  <cols>
    <col min="1" max="1" width="43.36328125" customWidth="1"/>
    <col min="2" max="2" width="30.6328125" customWidth="1"/>
    <col min="3" max="5" width="15.54296875" customWidth="1"/>
    <col min="6" max="6" width="1.08984375" customWidth="1"/>
    <col min="7" max="7" width="7.54296875" customWidth="1"/>
    <col min="8" max="8" width="1.54296875" customWidth="1"/>
    <col min="9" max="9" width="10.81640625" customWidth="1"/>
    <col min="10" max="10" width="12.7265625" customWidth="1"/>
    <col min="17" max="17" width="10.36328125" bestFit="1" customWidth="1"/>
    <col min="18" max="18" width="11.1796875" customWidth="1"/>
    <col min="19" max="19" width="12.7265625" customWidth="1"/>
  </cols>
  <sheetData>
    <row r="1" spans="1:19" ht="17.5" x14ac:dyDescent="0.45">
      <c r="A1" s="34" t="s">
        <v>25</v>
      </c>
      <c r="B1" s="34"/>
    </row>
    <row r="2" spans="1:19" ht="15.5" x14ac:dyDescent="0.35">
      <c r="A2" s="40" t="s">
        <v>2</v>
      </c>
      <c r="B2" s="40"/>
    </row>
    <row r="3" spans="1:19" ht="15.5" x14ac:dyDescent="0.35">
      <c r="A3" s="40" t="s">
        <v>24</v>
      </c>
      <c r="B3" s="40"/>
    </row>
    <row r="4" spans="1:19" ht="15.5" x14ac:dyDescent="0.35">
      <c r="A4" s="31" t="s">
        <v>18</v>
      </c>
      <c r="B4" s="31"/>
      <c r="I4">
        <v>2024</v>
      </c>
      <c r="M4" t="s">
        <v>57</v>
      </c>
      <c r="Q4" t="s">
        <v>58</v>
      </c>
    </row>
    <row r="5" spans="1:19" ht="16" thickBot="1" x14ac:dyDescent="0.4">
      <c r="A5" s="35" t="s">
        <v>42</v>
      </c>
      <c r="B5" s="35"/>
    </row>
    <row r="6" spans="1:19" ht="69" customHeight="1" thickBot="1" x14ac:dyDescent="0.4">
      <c r="A6" s="17" t="s">
        <v>26</v>
      </c>
      <c r="B6" s="44" t="s">
        <v>34</v>
      </c>
      <c r="C6" s="18" t="s">
        <v>31</v>
      </c>
      <c r="D6" s="18" t="s">
        <v>32</v>
      </c>
      <c r="E6" s="19" t="s">
        <v>33</v>
      </c>
      <c r="I6">
        <v>2019</v>
      </c>
      <c r="J6">
        <v>2020</v>
      </c>
      <c r="K6">
        <v>2021</v>
      </c>
      <c r="M6">
        <v>2019</v>
      </c>
      <c r="N6">
        <v>2020</v>
      </c>
      <c r="O6">
        <v>2021</v>
      </c>
      <c r="Q6">
        <v>2019</v>
      </c>
      <c r="R6">
        <v>2020</v>
      </c>
      <c r="S6">
        <v>2021</v>
      </c>
    </row>
    <row r="7" spans="1:19" ht="24.9" customHeight="1" x14ac:dyDescent="0.35">
      <c r="A7" s="20" t="s">
        <v>39</v>
      </c>
      <c r="B7" s="45" t="s">
        <v>45</v>
      </c>
      <c r="C7" s="57">
        <v>4.4494999999999996</v>
      </c>
      <c r="D7" s="58">
        <v>4.2779999999999996</v>
      </c>
      <c r="E7" s="59">
        <v>4.2835000000000001</v>
      </c>
      <c r="I7">
        <f>[1]CO2e_per_ha!C2</f>
        <v>4.4494999999999996</v>
      </c>
      <c r="J7">
        <f>[1]CO2e_per_ha!D2</f>
        <v>4.2779999999999996</v>
      </c>
      <c r="K7">
        <f>[1]CO2e_per_ha!E2</f>
        <v>4.2720000000000002</v>
      </c>
      <c r="M7" t="b">
        <f>Table_1_Area_yield_and_production_estimates_for_the_2021_Scottish_harvest[[#This Row],[2019-20]]=I7</f>
        <v>1</v>
      </c>
      <c r="N7" t="b">
        <f>Table_1_Area_yield_and_production_estimates_for_the_2021_Scottish_harvest[[#This Row],[2020-21]]=J7</f>
        <v>1</v>
      </c>
      <c r="O7" t="b">
        <f>Table_1_Area_yield_and_production_estimates_for_the_2021_Scottish_harvest[[#This Row],[2021-22]]=K7</f>
        <v>0</v>
      </c>
      <c r="Q7" s="69">
        <f>ABS(I7-Table_1_Area_yield_and_production_estimates_for_the_2021_Scottish_harvest[[#This Row],[2019-20]])</f>
        <v>0</v>
      </c>
      <c r="R7" s="69">
        <f>ABS(J7-Table_1_Area_yield_and_production_estimates_for_the_2021_Scottish_harvest[[#This Row],[2020-21]])</f>
        <v>0</v>
      </c>
      <c r="S7" s="70">
        <f>ABS(K7-Table_1_Area_yield_and_production_estimates_for_the_2021_Scottish_harvest[[#This Row],[2021-22]])</f>
        <v>1.1499999999999844E-2</v>
      </c>
    </row>
    <row r="8" spans="1:19" ht="24.9" customHeight="1" x14ac:dyDescent="0.35">
      <c r="A8" s="20" t="s">
        <v>39</v>
      </c>
      <c r="B8" s="56" t="s">
        <v>36</v>
      </c>
      <c r="C8" s="60">
        <v>3.0629541681318502</v>
      </c>
      <c r="D8" s="61">
        <v>2.8150795767418302</v>
      </c>
      <c r="E8" s="62">
        <v>2.5147177051124001</v>
      </c>
      <c r="I8">
        <f>[1]CO2e_per_ha!C3</f>
        <v>3.0629541681318471</v>
      </c>
      <c r="J8">
        <f>[1]CO2e_per_ha!D3</f>
        <v>2.8150795767418288</v>
      </c>
      <c r="K8">
        <f>[1]CO2e_per_ha!E3</f>
        <v>2.5087519331980599</v>
      </c>
      <c r="M8" t="b">
        <f>Table_1_Area_yield_and_production_estimates_for_the_2021_Scottish_harvest[[#This Row],[2019-20]]=I8</f>
        <v>1</v>
      </c>
      <c r="N8" t="b">
        <f>Table_1_Area_yield_and_production_estimates_for_the_2021_Scottish_harvest[[#This Row],[2020-21]]=J8</f>
        <v>1</v>
      </c>
      <c r="O8" t="b">
        <f>Table_1_Area_yield_and_production_estimates_for_the_2021_Scottish_harvest[[#This Row],[2021-22]]=K8</f>
        <v>0</v>
      </c>
      <c r="Q8" s="69">
        <f>ABS(I8-Table_1_Area_yield_and_production_estimates_for_the_2021_Scottish_harvest[[#This Row],[2019-20]])</f>
        <v>3.1086244689504383E-15</v>
      </c>
      <c r="R8" s="69">
        <f>ABS(J8-Table_1_Area_yield_and_production_estimates_for_the_2021_Scottish_harvest[[#This Row],[2020-21]])</f>
        <v>1.3322676295501878E-15</v>
      </c>
      <c r="S8" s="70">
        <f>ABS(K8-Table_1_Area_yield_and_production_estimates_for_the_2021_Scottish_harvest[[#This Row],[2021-22]])</f>
        <v>5.9657719143402232E-3</v>
      </c>
    </row>
    <row r="9" spans="1:19" ht="24.9" customHeight="1" x14ac:dyDescent="0.35">
      <c r="A9" s="20" t="s">
        <v>39</v>
      </c>
      <c r="B9" s="45" t="s">
        <v>35</v>
      </c>
      <c r="C9" s="60">
        <v>6.8924435427110504</v>
      </c>
      <c r="D9" s="61">
        <v>6.6539995354247496</v>
      </c>
      <c r="E9" s="62">
        <v>6.5854802413104601</v>
      </c>
      <c r="I9">
        <f>[1]CO2e_per_ha!C4</f>
        <v>6.8924435427110522</v>
      </c>
      <c r="J9">
        <f>[1]CO2e_per_ha!D4</f>
        <v>6.6539995354247532</v>
      </c>
      <c r="K9">
        <f>[1]CO2e_per_ha!E4</f>
        <v>6.5539372287803728</v>
      </c>
      <c r="M9" t="b">
        <f>Table_1_Area_yield_and_production_estimates_for_the_2021_Scottish_harvest[[#This Row],[2019-20]]=I9</f>
        <v>1</v>
      </c>
      <c r="N9" t="b">
        <f>Table_1_Area_yield_and_production_estimates_for_the_2021_Scottish_harvest[[#This Row],[2020-21]]=J9</f>
        <v>1</v>
      </c>
      <c r="O9" t="b">
        <f>Table_1_Area_yield_and_production_estimates_for_the_2021_Scottish_harvest[[#This Row],[2021-22]]=K9</f>
        <v>0</v>
      </c>
      <c r="Q9" s="69">
        <f>ABS(I9-Table_1_Area_yield_and_production_estimates_for_the_2021_Scottish_harvest[[#This Row],[2019-20]])</f>
        <v>1.7763568394002505E-15</v>
      </c>
      <c r="R9" s="69">
        <f>ABS(J9-Table_1_Area_yield_and_production_estimates_for_the_2021_Scottish_harvest[[#This Row],[2020-21]])</f>
        <v>3.5527136788005009E-15</v>
      </c>
      <c r="S9" s="70">
        <f>ABS(K9-Table_1_Area_yield_and_production_estimates_for_the_2021_Scottish_harvest[[#This Row],[2021-22]])</f>
        <v>3.1543012530087289E-2</v>
      </c>
    </row>
    <row r="10" spans="1:19" ht="24.9" customHeight="1" x14ac:dyDescent="0.35">
      <c r="A10" s="21" t="s">
        <v>27</v>
      </c>
      <c r="B10" s="46" t="s">
        <v>45</v>
      </c>
      <c r="C10" s="48">
        <v>2.774</v>
      </c>
      <c r="D10" s="16">
        <v>2.4975000000000001</v>
      </c>
      <c r="E10" s="49">
        <v>2.9095</v>
      </c>
      <c r="I10">
        <f>[1]CO2e_per_ha!C5</f>
        <v>2.774</v>
      </c>
      <c r="J10">
        <f>[1]CO2e_per_ha!D5</f>
        <v>2.4975000000000001</v>
      </c>
      <c r="K10">
        <f>[1]CO2e_per_ha!E5</f>
        <v>2.839</v>
      </c>
      <c r="M10" t="b">
        <f>Table_1_Area_yield_and_production_estimates_for_the_2021_Scottish_harvest[[#This Row],[2019-20]]=I10</f>
        <v>1</v>
      </c>
      <c r="N10" t="b">
        <f>Table_1_Area_yield_and_production_estimates_for_the_2021_Scottish_harvest[[#This Row],[2020-21]]=J10</f>
        <v>1</v>
      </c>
      <c r="O10" t="b">
        <f>Table_1_Area_yield_and_production_estimates_for_the_2021_Scottish_harvest[[#This Row],[2021-22]]=K10</f>
        <v>0</v>
      </c>
      <c r="Q10" s="69">
        <f>ABS(I10-Table_1_Area_yield_and_production_estimates_for_the_2021_Scottish_harvest[[#This Row],[2019-20]])</f>
        <v>0</v>
      </c>
      <c r="R10" s="69">
        <f>ABS(J10-Table_1_Area_yield_and_production_estimates_for_the_2021_Scottish_harvest[[#This Row],[2020-21]])</f>
        <v>0</v>
      </c>
      <c r="S10" s="70">
        <f>ABS(K10-Table_1_Area_yield_and_production_estimates_for_the_2021_Scottish_harvest[[#This Row],[2021-22]])</f>
        <v>7.0500000000000007E-2</v>
      </c>
    </row>
    <row r="11" spans="1:19" ht="24.9" customHeight="1" x14ac:dyDescent="0.35">
      <c r="A11" s="21" t="s">
        <v>27</v>
      </c>
      <c r="B11" s="46" t="s">
        <v>36</v>
      </c>
      <c r="C11" s="48">
        <v>2.0083443976704398</v>
      </c>
      <c r="D11" s="16">
        <v>1.54704799361235</v>
      </c>
      <c r="E11" s="49">
        <v>2.4297233218845302</v>
      </c>
      <c r="I11">
        <f>[1]CO2e_per_ha!C6</f>
        <v>2.0083443976704429</v>
      </c>
      <c r="J11">
        <f>[1]CO2e_per_ha!D6</f>
        <v>1.5470479936123549</v>
      </c>
      <c r="K11">
        <f>[1]CO2e_per_ha!E6</f>
        <v>2.429772294110994</v>
      </c>
      <c r="M11" t="b">
        <f>Table_1_Area_yield_and_production_estimates_for_the_2021_Scottish_harvest[[#This Row],[2019-20]]=I11</f>
        <v>1</v>
      </c>
      <c r="N11" t="b">
        <f>Table_1_Area_yield_and_production_estimates_for_the_2021_Scottish_harvest[[#This Row],[2020-21]]=J11</f>
        <v>1</v>
      </c>
      <c r="O11" t="b">
        <f>Table_1_Area_yield_and_production_estimates_for_the_2021_Scottish_harvest[[#This Row],[2021-22]]=K11</f>
        <v>0</v>
      </c>
      <c r="Q11" s="69">
        <f>ABS(I11-Table_1_Area_yield_and_production_estimates_for_the_2021_Scottish_harvest[[#This Row],[2019-20]])</f>
        <v>3.1086244689504383E-15</v>
      </c>
      <c r="R11" s="69">
        <f>ABS(J11-Table_1_Area_yield_and_production_estimates_for_the_2021_Scottish_harvest[[#This Row],[2020-21]])</f>
        <v>4.8849813083506888E-15</v>
      </c>
      <c r="S11" s="70">
        <f>ABS(K11-Table_1_Area_yield_and_production_estimates_for_the_2021_Scottish_harvest[[#This Row],[2021-22]])</f>
        <v>4.897222646382815E-5</v>
      </c>
    </row>
    <row r="12" spans="1:19" ht="24.9" customHeight="1" x14ac:dyDescent="0.35">
      <c r="A12" s="21" t="s">
        <v>27</v>
      </c>
      <c r="B12" s="46" t="s">
        <v>35</v>
      </c>
      <c r="C12" s="48">
        <v>3.5023967512094001</v>
      </c>
      <c r="D12" s="16">
        <v>3.2811731407872902</v>
      </c>
      <c r="E12" s="49">
        <v>3.70669038862773</v>
      </c>
      <c r="I12">
        <f>[1]CO2e_per_ha!C7</f>
        <v>3.5023967512094041</v>
      </c>
      <c r="J12">
        <f>[1]CO2e_per_ha!D7</f>
        <v>3.2811731407872888</v>
      </c>
      <c r="K12">
        <f>[1]CO2e_per_ha!E7</f>
        <v>3.6653611702908862</v>
      </c>
      <c r="M12" t="b">
        <f>Table_1_Area_yield_and_production_estimates_for_the_2021_Scottish_harvest[[#This Row],[2019-20]]=I12</f>
        <v>1</v>
      </c>
      <c r="N12" t="b">
        <f>Table_1_Area_yield_and_production_estimates_for_the_2021_Scottish_harvest[[#This Row],[2020-21]]=J12</f>
        <v>1</v>
      </c>
      <c r="O12" t="b">
        <f>Table_1_Area_yield_and_production_estimates_for_the_2021_Scottish_harvest[[#This Row],[2021-22]]=K12</f>
        <v>0</v>
      </c>
      <c r="Q12" s="69">
        <f>ABS(I12-Table_1_Area_yield_and_production_estimates_for_the_2021_Scottish_harvest[[#This Row],[2019-20]])</f>
        <v>3.9968028886505635E-15</v>
      </c>
      <c r="R12" s="69">
        <f>ABS(J12-Table_1_Area_yield_and_production_estimates_for_the_2021_Scottish_harvest[[#This Row],[2020-21]])</f>
        <v>1.3322676295501878E-15</v>
      </c>
      <c r="S12" s="70">
        <f>ABS(K12-Table_1_Area_yield_and_production_estimates_for_the_2021_Scottish_harvest[[#This Row],[2021-22]])</f>
        <v>4.1329218336843887E-2</v>
      </c>
    </row>
    <row r="13" spans="1:19" ht="24.9" customHeight="1" x14ac:dyDescent="0.35">
      <c r="A13" s="21" t="s">
        <v>28</v>
      </c>
      <c r="B13" s="46" t="s">
        <v>45</v>
      </c>
      <c r="C13" s="48">
        <v>3.2040000000000002</v>
      </c>
      <c r="D13" s="16">
        <v>3.1509999999999998</v>
      </c>
      <c r="E13" s="49">
        <v>2.6835</v>
      </c>
      <c r="I13">
        <f>[1]CO2e_per_ha!C8</f>
        <v>3.2040000000000002</v>
      </c>
      <c r="J13">
        <f>[1]CO2e_per_ha!D8</f>
        <v>3.1509999999999998</v>
      </c>
      <c r="K13">
        <f>[1]CO2e_per_ha!E8</f>
        <v>2.6194999999999999</v>
      </c>
      <c r="M13" t="b">
        <f>Table_1_Area_yield_and_production_estimates_for_the_2021_Scottish_harvest[[#This Row],[2019-20]]=I13</f>
        <v>1</v>
      </c>
      <c r="N13" t="b">
        <f>Table_1_Area_yield_and_production_estimates_for_the_2021_Scottish_harvest[[#This Row],[2020-21]]=J13</f>
        <v>1</v>
      </c>
      <c r="O13" t="b">
        <f>Table_1_Area_yield_and_production_estimates_for_the_2021_Scottish_harvest[[#This Row],[2021-22]]=K13</f>
        <v>0</v>
      </c>
      <c r="Q13" s="69">
        <f>ABS(I13-Table_1_Area_yield_and_production_estimates_for_the_2021_Scottish_harvest[[#This Row],[2019-20]])</f>
        <v>0</v>
      </c>
      <c r="R13" s="69">
        <f>ABS(J13-Table_1_Area_yield_and_production_estimates_for_the_2021_Scottish_harvest[[#This Row],[2020-21]])</f>
        <v>0</v>
      </c>
      <c r="S13" s="70">
        <f>ABS(K13-Table_1_Area_yield_and_production_estimates_for_the_2021_Scottish_harvest[[#This Row],[2021-22]])</f>
        <v>6.4000000000000057E-2</v>
      </c>
    </row>
    <row r="14" spans="1:19" ht="24.9" customHeight="1" x14ac:dyDescent="0.35">
      <c r="A14" s="21" t="s">
        <v>28</v>
      </c>
      <c r="B14" s="46" t="s">
        <v>36</v>
      </c>
      <c r="C14" s="48">
        <v>2.3773612291030499</v>
      </c>
      <c r="D14" s="16">
        <v>2.2992860544295901</v>
      </c>
      <c r="E14" s="49">
        <v>2.1972527467619201</v>
      </c>
      <c r="I14">
        <f>[1]CO2e_per_ha!C9</f>
        <v>2.377361229103045</v>
      </c>
      <c r="J14">
        <f>[1]CO2e_per_ha!D9</f>
        <v>2.2992860544295879</v>
      </c>
      <c r="K14">
        <f>[1]CO2e_per_ha!E9</f>
        <v>2.1823313872036669</v>
      </c>
      <c r="M14" t="b">
        <f>Table_1_Area_yield_and_production_estimates_for_the_2021_Scottish_harvest[[#This Row],[2019-20]]=I14</f>
        <v>1</v>
      </c>
      <c r="N14" t="b">
        <f>Table_1_Area_yield_and_production_estimates_for_the_2021_Scottish_harvest[[#This Row],[2020-21]]=J14</f>
        <v>1</v>
      </c>
      <c r="O14" t="b">
        <f>Table_1_Area_yield_and_production_estimates_for_the_2021_Scottish_harvest[[#This Row],[2021-22]]=K14</f>
        <v>0</v>
      </c>
      <c r="Q14" s="69">
        <f>ABS(I14-Table_1_Area_yield_and_production_estimates_for_the_2021_Scottish_harvest[[#This Row],[2019-20]])</f>
        <v>4.8849813083506888E-15</v>
      </c>
      <c r="R14" s="69">
        <f>ABS(J14-Table_1_Area_yield_and_production_estimates_for_the_2021_Scottish_harvest[[#This Row],[2020-21]])</f>
        <v>2.2204460492503131E-15</v>
      </c>
      <c r="S14" s="70">
        <f>ABS(K14-Table_1_Area_yield_and_production_estimates_for_the_2021_Scottish_harvest[[#This Row],[2021-22]])</f>
        <v>1.4921359558253133E-2</v>
      </c>
    </row>
    <row r="15" spans="1:19" ht="24.9" customHeight="1" x14ac:dyDescent="0.35">
      <c r="A15" s="21" t="s">
        <v>28</v>
      </c>
      <c r="B15" s="46" t="s">
        <v>35</v>
      </c>
      <c r="C15" s="48">
        <v>3.7571358162265001</v>
      </c>
      <c r="D15" s="16">
        <v>3.5911438454428302</v>
      </c>
      <c r="E15" s="49">
        <v>3.5905496008392999</v>
      </c>
      <c r="I15">
        <f>[1]CO2e_per_ha!C10</f>
        <v>3.7571358162265001</v>
      </c>
      <c r="J15">
        <f>[1]CO2e_per_ha!D10</f>
        <v>3.5911438454428319</v>
      </c>
      <c r="K15">
        <f>[1]CO2e_per_ha!E10</f>
        <v>3.4062280344914662</v>
      </c>
      <c r="M15" t="b">
        <f>Table_1_Area_yield_and_production_estimates_for_the_2021_Scottish_harvest[[#This Row],[2019-20]]=I15</f>
        <v>1</v>
      </c>
      <c r="N15" t="b">
        <f>Table_1_Area_yield_and_production_estimates_for_the_2021_Scottish_harvest[[#This Row],[2020-21]]=J15</f>
        <v>1</v>
      </c>
      <c r="O15" t="b">
        <f>Table_1_Area_yield_and_production_estimates_for_the_2021_Scottish_harvest[[#This Row],[2021-22]]=K15</f>
        <v>0</v>
      </c>
      <c r="Q15" s="69">
        <f>ABS(I15-Table_1_Area_yield_and_production_estimates_for_the_2021_Scottish_harvest[[#This Row],[2019-20]])</f>
        <v>0</v>
      </c>
      <c r="R15" s="69">
        <f>ABS(J15-Table_1_Area_yield_and_production_estimates_for_the_2021_Scottish_harvest[[#This Row],[2020-21]])</f>
        <v>1.7763568394002505E-15</v>
      </c>
      <c r="S15" s="70">
        <f>ABS(K15-Table_1_Area_yield_and_production_estimates_for_the_2021_Scottish_harvest[[#This Row],[2021-22]])</f>
        <v>0.1843215663478337</v>
      </c>
    </row>
    <row r="16" spans="1:19" ht="24.9" customHeight="1" x14ac:dyDescent="0.35">
      <c r="A16" s="21" t="s">
        <v>29</v>
      </c>
      <c r="B16" s="46" t="s">
        <v>45</v>
      </c>
      <c r="C16" s="48">
        <v>17.7075</v>
      </c>
      <c r="D16" s="16">
        <v>17.856000000000002</v>
      </c>
      <c r="E16" s="49">
        <v>17.167999999999999</v>
      </c>
      <c r="I16">
        <f>[1]CO2e_per_ha!C11</f>
        <v>17.7075</v>
      </c>
      <c r="J16">
        <f>[1]CO2e_per_ha!D11</f>
        <v>17.856000000000002</v>
      </c>
      <c r="K16">
        <f>[1]CO2e_per_ha!E11</f>
        <v>17.167999999999999</v>
      </c>
      <c r="M16" t="b">
        <f>Table_1_Area_yield_and_production_estimates_for_the_2021_Scottish_harvest[[#This Row],[2019-20]]=I16</f>
        <v>1</v>
      </c>
      <c r="N16" t="b">
        <f>Table_1_Area_yield_and_production_estimates_for_the_2021_Scottish_harvest[[#This Row],[2020-21]]=J16</f>
        <v>1</v>
      </c>
      <c r="O16" t="b">
        <f>Table_1_Area_yield_and_production_estimates_for_the_2021_Scottish_harvest[[#This Row],[2021-22]]=K16</f>
        <v>1</v>
      </c>
      <c r="Q16" s="69">
        <f>ABS(I16-Table_1_Area_yield_and_production_estimates_for_the_2021_Scottish_harvest[[#This Row],[2019-20]])</f>
        <v>0</v>
      </c>
      <c r="R16" s="69">
        <f>ABS(J16-Table_1_Area_yield_and_production_estimates_for_the_2021_Scottish_harvest[[#This Row],[2020-21]])</f>
        <v>0</v>
      </c>
      <c r="S16" s="70">
        <f>ABS(K16-Table_1_Area_yield_and_production_estimates_for_the_2021_Scottish_harvest[[#This Row],[2021-22]])</f>
        <v>0</v>
      </c>
    </row>
    <row r="17" spans="1:19" ht="24.9" customHeight="1" x14ac:dyDescent="0.35">
      <c r="A17" s="21" t="s">
        <v>29</v>
      </c>
      <c r="B17" s="46" t="s">
        <v>36</v>
      </c>
      <c r="C17" s="48">
        <v>14.0292292804615</v>
      </c>
      <c r="D17" s="16">
        <v>15.359888716325001</v>
      </c>
      <c r="E17" s="49">
        <v>15.391749770856199</v>
      </c>
      <c r="I17">
        <f>[1]CO2e_per_ha!C12</f>
        <v>14.02922928046145</v>
      </c>
      <c r="J17">
        <f>[1]CO2e_per_ha!D12</f>
        <v>15.35988871632501</v>
      </c>
      <c r="K17">
        <f>[1]CO2e_per_ha!E12</f>
        <v>15.39600985521164</v>
      </c>
      <c r="M17" t="b">
        <f>Table_1_Area_yield_and_production_estimates_for_the_2021_Scottish_harvest[[#This Row],[2019-20]]=I17</f>
        <v>1</v>
      </c>
      <c r="N17" t="b">
        <f>Table_1_Area_yield_and_production_estimates_for_the_2021_Scottish_harvest[[#This Row],[2020-21]]=J17</f>
        <v>1</v>
      </c>
      <c r="O17" t="b">
        <f>Table_1_Area_yield_and_production_estimates_for_the_2021_Scottish_harvest[[#This Row],[2021-22]]=K17</f>
        <v>0</v>
      </c>
      <c r="Q17" s="69">
        <f>ABS(I17-Table_1_Area_yield_and_production_estimates_for_the_2021_Scottish_harvest[[#This Row],[2019-20]])</f>
        <v>4.9737991503207013E-14</v>
      </c>
      <c r="R17" s="69">
        <f>ABS(J17-Table_1_Area_yield_and_production_estimates_for_the_2021_Scottish_harvest[[#This Row],[2020-21]])</f>
        <v>8.8817841970012523E-15</v>
      </c>
      <c r="S17" s="70">
        <f>ABS(K17-Table_1_Area_yield_and_production_estimates_for_the_2021_Scottish_harvest[[#This Row],[2021-22]])</f>
        <v>4.2600843554403411E-3</v>
      </c>
    </row>
    <row r="18" spans="1:19" ht="24.9" customHeight="1" x14ac:dyDescent="0.35">
      <c r="A18" s="21" t="s">
        <v>29</v>
      </c>
      <c r="B18" s="46" t="s">
        <v>35</v>
      </c>
      <c r="C18" s="48">
        <v>22.8021542865852</v>
      </c>
      <c r="D18" s="16">
        <v>22.469768555319899</v>
      </c>
      <c r="E18" s="49">
        <v>21.3219568017436</v>
      </c>
      <c r="I18">
        <f>[1]CO2e_per_ha!C13</f>
        <v>22.802154286585161</v>
      </c>
      <c r="J18">
        <f>[1]CO2e_per_ha!D13</f>
        <v>22.469768555319941</v>
      </c>
      <c r="K18">
        <f>[1]CO2e_per_ha!E13</f>
        <v>21.407637834753299</v>
      </c>
      <c r="M18" t="b">
        <f>Table_1_Area_yield_and_production_estimates_for_the_2021_Scottish_harvest[[#This Row],[2019-20]]=I18</f>
        <v>1</v>
      </c>
      <c r="N18" t="b">
        <f>Table_1_Area_yield_and_production_estimates_for_the_2021_Scottish_harvest[[#This Row],[2020-21]]=J18</f>
        <v>1</v>
      </c>
      <c r="O18" t="b">
        <f>Table_1_Area_yield_and_production_estimates_for_the_2021_Scottish_harvest[[#This Row],[2021-22]]=K18</f>
        <v>0</v>
      </c>
      <c r="Q18" s="69">
        <f>ABS(I18-Table_1_Area_yield_and_production_estimates_for_the_2021_Scottish_harvest[[#This Row],[2019-20]])</f>
        <v>3.907985046680551E-14</v>
      </c>
      <c r="R18" s="69">
        <f>ABS(J18-Table_1_Area_yield_and_production_estimates_for_the_2021_Scottish_harvest[[#This Row],[2020-21]])</f>
        <v>4.2632564145606011E-14</v>
      </c>
      <c r="S18" s="70">
        <f>ABS(K18-Table_1_Area_yield_and_production_estimates_for_the_2021_Scottish_harvest[[#This Row],[2021-22]])</f>
        <v>8.5681033009699092E-2</v>
      </c>
    </row>
    <row r="19" spans="1:19" ht="24.9" customHeight="1" x14ac:dyDescent="0.35">
      <c r="A19" s="21" t="s">
        <v>41</v>
      </c>
      <c r="B19" s="46" t="s">
        <v>45</v>
      </c>
      <c r="C19" s="48">
        <v>4.7605000000000004</v>
      </c>
      <c r="D19" s="16">
        <v>4.7759999999999998</v>
      </c>
      <c r="E19" s="49">
        <v>4.9755000000000003</v>
      </c>
      <c r="Q19" s="69"/>
      <c r="R19" s="69"/>
      <c r="S19" s="70"/>
    </row>
    <row r="20" spans="1:19" ht="24.9" customHeight="1" x14ac:dyDescent="0.35">
      <c r="A20" s="21" t="s">
        <v>41</v>
      </c>
      <c r="B20" s="46" t="s">
        <v>36</v>
      </c>
      <c r="C20" s="48">
        <v>3.07344737810525</v>
      </c>
      <c r="D20" s="16">
        <v>2.7793594759598501</v>
      </c>
      <c r="E20" s="49">
        <v>2.5315421818569401</v>
      </c>
      <c r="Q20" s="69"/>
      <c r="R20" s="69"/>
      <c r="S20" s="70"/>
    </row>
    <row r="21" spans="1:19" ht="24.9" customHeight="1" x14ac:dyDescent="0.35">
      <c r="A21" s="21" t="s">
        <v>41</v>
      </c>
      <c r="B21" s="46" t="s">
        <v>35</v>
      </c>
      <c r="C21" s="48">
        <v>6.8922028383311602</v>
      </c>
      <c r="D21" s="16">
        <v>6.4871714248699197</v>
      </c>
      <c r="E21" s="49">
        <v>6.4288873602328804</v>
      </c>
      <c r="Q21" s="69"/>
      <c r="R21" s="69"/>
      <c r="S21" s="70"/>
    </row>
    <row r="22" spans="1:19" ht="24.9" customHeight="1" x14ac:dyDescent="0.35">
      <c r="A22" s="21" t="s">
        <v>30</v>
      </c>
      <c r="B22" s="46" t="s">
        <v>45</v>
      </c>
      <c r="C22" s="48">
        <v>4.8689999999999998</v>
      </c>
      <c r="D22" s="16">
        <v>5.2835000000000001</v>
      </c>
      <c r="E22" s="49">
        <v>5.13</v>
      </c>
      <c r="I22">
        <f>[1]CO2e_per_ha!C26</f>
        <v>4.8689999999999998</v>
      </c>
      <c r="J22">
        <f>[1]CO2e_per_ha!D26</f>
        <v>5.2835000000000001</v>
      </c>
      <c r="K22">
        <f>[1]CO2e_per_ha!E26</f>
        <v>5.1124999999999998</v>
      </c>
      <c r="M22" t="b">
        <f>Table_1_Area_yield_and_production_estimates_for_the_2021_Scottish_harvest[[#This Row],[2019-20]]=I22</f>
        <v>1</v>
      </c>
      <c r="N22" t="b">
        <f>Table_1_Area_yield_and_production_estimates_for_the_2021_Scottish_harvest[[#This Row],[2020-21]]=J22</f>
        <v>1</v>
      </c>
      <c r="O22" t="b">
        <f>Table_1_Area_yield_and_production_estimates_for_the_2021_Scottish_harvest[[#This Row],[2021-22]]=K22</f>
        <v>0</v>
      </c>
      <c r="Q22" s="69">
        <f>ABS(I22-Table_1_Area_yield_and_production_estimates_for_the_2021_Scottish_harvest[[#This Row],[2019-20]])</f>
        <v>0</v>
      </c>
      <c r="R22" s="69">
        <f>ABS(J22-Table_1_Area_yield_and_production_estimates_for_the_2021_Scottish_harvest[[#This Row],[2020-21]])</f>
        <v>0</v>
      </c>
      <c r="S22" s="70">
        <f>ABS(K22-Table_1_Area_yield_and_production_estimates_for_the_2021_Scottish_harvest[[#This Row],[2021-22]])</f>
        <v>1.7500000000000071E-2</v>
      </c>
    </row>
    <row r="23" spans="1:19" ht="24.9" customHeight="1" x14ac:dyDescent="0.35">
      <c r="A23" s="21" t="s">
        <v>30</v>
      </c>
      <c r="B23" s="46" t="s">
        <v>36</v>
      </c>
      <c r="C23" s="48">
        <v>3.8268360950523101</v>
      </c>
      <c r="D23" s="16">
        <v>3.5330575448747998</v>
      </c>
      <c r="E23" s="49">
        <v>3.1973907297099502</v>
      </c>
      <c r="I23">
        <f>[1]CO2e_per_ha!C27</f>
        <v>3.8268360950523101</v>
      </c>
      <c r="J23">
        <f>[1]CO2e_per_ha!D27</f>
        <v>3.5330575448747972</v>
      </c>
      <c r="K23">
        <f>[1]CO2e_per_ha!E27</f>
        <v>3.2061660155401288</v>
      </c>
      <c r="M23" t="b">
        <f>Table_1_Area_yield_and_production_estimates_for_the_2021_Scottish_harvest[[#This Row],[2019-20]]=I23</f>
        <v>1</v>
      </c>
      <c r="N23" t="b">
        <f>Table_1_Area_yield_and_production_estimates_for_the_2021_Scottish_harvest[[#This Row],[2020-21]]=J23</f>
        <v>1</v>
      </c>
      <c r="O23" t="b">
        <f>Table_1_Area_yield_and_production_estimates_for_the_2021_Scottish_harvest[[#This Row],[2021-22]]=K23</f>
        <v>0</v>
      </c>
      <c r="Q23" s="69">
        <f>ABS(I23-Table_1_Area_yield_and_production_estimates_for_the_2021_Scottish_harvest[[#This Row],[2019-20]])</f>
        <v>0</v>
      </c>
      <c r="R23" s="69">
        <f>ABS(J23-Table_1_Area_yield_and_production_estimates_for_the_2021_Scottish_harvest[[#This Row],[2020-21]])</f>
        <v>2.6645352591003757E-15</v>
      </c>
      <c r="S23" s="70">
        <f>ABS(K23-Table_1_Area_yield_and_production_estimates_for_the_2021_Scottish_harvest[[#This Row],[2021-22]])</f>
        <v>8.7752858301786141E-3</v>
      </c>
    </row>
    <row r="24" spans="1:19" ht="24.9" customHeight="1" x14ac:dyDescent="0.35">
      <c r="A24" s="21" t="s">
        <v>30</v>
      </c>
      <c r="B24" s="46" t="s">
        <v>35</v>
      </c>
      <c r="C24" s="48">
        <v>6.50523229430011</v>
      </c>
      <c r="D24" s="16">
        <v>6.6165893078526903</v>
      </c>
      <c r="E24" s="49">
        <v>6.7776242155238302</v>
      </c>
      <c r="I24">
        <f>[1]CO2e_per_ha!C28</f>
        <v>6.5052322943001126</v>
      </c>
      <c r="J24">
        <f>[1]CO2e_per_ha!D28</f>
        <v>6.6165893078526867</v>
      </c>
      <c r="K24">
        <f>[1]CO2e_per_ha!E28</f>
        <v>6.5440755424329708</v>
      </c>
      <c r="M24" t="b">
        <f>Table_1_Area_yield_and_production_estimates_for_the_2021_Scottish_harvest[[#This Row],[2019-20]]=I24</f>
        <v>1</v>
      </c>
      <c r="N24" t="b">
        <f>Table_1_Area_yield_and_production_estimates_for_the_2021_Scottish_harvest[[#This Row],[2020-21]]=J24</f>
        <v>1</v>
      </c>
      <c r="O24" t="b">
        <f>Table_1_Area_yield_and_production_estimates_for_the_2021_Scottish_harvest[[#This Row],[2021-22]]=K24</f>
        <v>0</v>
      </c>
      <c r="Q24" s="69">
        <f>ABS(I24-Table_1_Area_yield_and_production_estimates_for_the_2021_Scottish_harvest[[#This Row],[2019-20]])</f>
        <v>2.6645352591003757E-15</v>
      </c>
      <c r="R24" s="69">
        <f>ABS(J24-Table_1_Area_yield_and_production_estimates_for_the_2021_Scottish_harvest[[#This Row],[2020-21]])</f>
        <v>3.5527136788005009E-15</v>
      </c>
      <c r="S24" s="70">
        <f>ABS(K24-Table_1_Area_yield_and_production_estimates_for_the_2021_Scottish_harvest[[#This Row],[2021-22]])</f>
        <v>0.23354867309085936</v>
      </c>
    </row>
    <row r="25" spans="1:19" ht="26.25" customHeight="1" x14ac:dyDescent="0.35">
      <c r="C25" s="15"/>
      <c r="D25" s="4"/>
      <c r="E25" s="4"/>
    </row>
    <row r="26" spans="1:19" ht="26.15" customHeight="1" x14ac:dyDescent="0.35">
      <c r="A26" s="1"/>
      <c r="B26" s="1"/>
      <c r="C26" s="3"/>
      <c r="E26" s="5"/>
    </row>
    <row r="27" spans="1:19" x14ac:dyDescent="0.35">
      <c r="A27" s="25"/>
      <c r="B27" s="25"/>
      <c r="C27" s="47"/>
      <c r="D27" s="47"/>
      <c r="E27" s="47"/>
    </row>
    <row r="28" spans="1:19" x14ac:dyDescent="0.35">
      <c r="C28" s="3"/>
      <c r="D28" s="3"/>
      <c r="E28" s="3"/>
    </row>
    <row r="29" spans="1:19" ht="64.5" customHeight="1" x14ac:dyDescent="0.35"/>
    <row r="31" spans="1:19" x14ac:dyDescent="0.35">
      <c r="E31" s="26"/>
    </row>
    <row r="32" spans="1:19" x14ac:dyDescent="0.35">
      <c r="E32" s="26"/>
    </row>
    <row r="33" spans="5:5" x14ac:dyDescent="0.35">
      <c r="E33" s="26"/>
    </row>
    <row r="34" spans="5:5" x14ac:dyDescent="0.35">
      <c r="E34" s="26"/>
    </row>
    <row r="35" spans="5:5" x14ac:dyDescent="0.35">
      <c r="E35" s="26"/>
    </row>
    <row r="36" spans="5:5" x14ac:dyDescent="0.35">
      <c r="E36" s="1"/>
    </row>
    <row r="37" spans="5:5" x14ac:dyDescent="0.35">
      <c r="E37" s="26"/>
    </row>
    <row r="39" spans="5:5" ht="12.75" customHeight="1" x14ac:dyDescent="0.35"/>
    <row r="40" spans="5:5" ht="12.75" customHeight="1" x14ac:dyDescent="0.35"/>
    <row r="41" spans="5:5" ht="12.75" customHeight="1" x14ac:dyDescent="0.35"/>
  </sheetData>
  <phoneticPr fontId="5" type="noConversion"/>
  <hyperlinks>
    <hyperlink ref="A4" location="'Table of contents'!A1" display="Link to table of contents" xr:uid="{00000000-0004-0000-0300-000000000000}"/>
  </hyperlinks>
  <pageMargins left="0.75" right="0.75" top="1" bottom="1" header="0.5" footer="0.5"/>
  <pageSetup paperSize="9" scale="61" orientation="landscape" r:id="rId1"/>
  <headerFooter alignWithMargins="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20736-452D-49D9-80B2-8A72BDA858FA}">
  <sheetPr>
    <pageSetUpPr fitToPage="1"/>
  </sheetPr>
  <dimension ref="A1:S41"/>
  <sheetViews>
    <sheetView showGridLines="0" topLeftCell="G7" zoomScaleNormal="100" workbookViewId="0">
      <selection activeCell="S7" sqref="S7:S24"/>
    </sheetView>
  </sheetViews>
  <sheetFormatPr defaultRowHeight="14.5" x14ac:dyDescent="0.35"/>
  <cols>
    <col min="1" max="1" width="43.453125" customWidth="1"/>
    <col min="2" max="2" width="30.6328125" customWidth="1"/>
    <col min="3" max="5" width="15.54296875" customWidth="1"/>
    <col min="6" max="8" width="14" customWidth="1"/>
    <col min="9" max="9" width="13.08984375" customWidth="1"/>
    <col min="10" max="10" width="11.81640625" bestFit="1" customWidth="1"/>
    <col min="11" max="11" width="7.54296875" customWidth="1"/>
    <col min="12" max="12" width="10.26953125" customWidth="1"/>
    <col min="13" max="13" width="8.08984375" customWidth="1"/>
    <col min="14" max="14" width="10.453125" customWidth="1"/>
    <col min="17" max="17" width="12" customWidth="1"/>
    <col min="18" max="18" width="11.08984375" customWidth="1"/>
    <col min="19" max="19" width="10" customWidth="1"/>
  </cols>
  <sheetData>
    <row r="1" spans="1:19" ht="17.5" x14ac:dyDescent="0.45">
      <c r="A1" s="34" t="s">
        <v>37</v>
      </c>
      <c r="B1" s="34"/>
      <c r="H1" s="23"/>
      <c r="I1" s="23"/>
    </row>
    <row r="2" spans="1:19" ht="15.5" x14ac:dyDescent="0.35">
      <c r="A2" s="40" t="s">
        <v>2</v>
      </c>
      <c r="B2" s="40"/>
      <c r="H2" s="24"/>
      <c r="I2" s="24"/>
    </row>
    <row r="3" spans="1:19" ht="15.5" x14ac:dyDescent="0.35">
      <c r="A3" s="40" t="s">
        <v>24</v>
      </c>
      <c r="B3" s="40"/>
      <c r="H3" s="24"/>
      <c r="I3" s="24"/>
    </row>
    <row r="4" spans="1:19" ht="15.5" x14ac:dyDescent="0.35">
      <c r="A4" s="31" t="s">
        <v>18</v>
      </c>
      <c r="B4" s="31"/>
      <c r="H4" s="24"/>
      <c r="I4">
        <v>2024</v>
      </c>
      <c r="M4" t="s">
        <v>57</v>
      </c>
      <c r="Q4" t="s">
        <v>58</v>
      </c>
    </row>
    <row r="5" spans="1:19" ht="16" thickBot="1" x14ac:dyDescent="0.4">
      <c r="A5" s="35" t="s">
        <v>42</v>
      </c>
      <c r="B5" s="35"/>
      <c r="H5" s="24"/>
    </row>
    <row r="6" spans="1:19" ht="69" customHeight="1" thickBot="1" x14ac:dyDescent="0.4">
      <c r="A6" s="17" t="s">
        <v>26</v>
      </c>
      <c r="B6" s="44" t="s">
        <v>34</v>
      </c>
      <c r="C6" s="18" t="s">
        <v>31</v>
      </c>
      <c r="D6" s="18" t="s">
        <v>32</v>
      </c>
      <c r="E6" s="19" t="s">
        <v>33</v>
      </c>
      <c r="H6" s="24"/>
      <c r="I6">
        <v>2019</v>
      </c>
      <c r="J6">
        <v>2020</v>
      </c>
      <c r="K6">
        <v>2021</v>
      </c>
      <c r="M6">
        <v>2019</v>
      </c>
      <c r="N6">
        <v>2020</v>
      </c>
      <c r="O6">
        <v>2021</v>
      </c>
      <c r="Q6">
        <v>2019</v>
      </c>
      <c r="R6">
        <v>2020</v>
      </c>
      <c r="S6">
        <v>2021</v>
      </c>
    </row>
    <row r="7" spans="1:19" ht="24.9" customHeight="1" x14ac:dyDescent="0.35">
      <c r="A7" s="20" t="s">
        <v>39</v>
      </c>
      <c r="B7" s="45" t="s">
        <v>45</v>
      </c>
      <c r="C7" s="57">
        <v>7.84</v>
      </c>
      <c r="D7" s="58">
        <v>4.62</v>
      </c>
      <c r="E7" s="59">
        <v>9.26</v>
      </c>
      <c r="H7" s="24"/>
      <c r="I7">
        <v>7.84</v>
      </c>
      <c r="J7">
        <v>4.62</v>
      </c>
      <c r="K7">
        <v>9.26</v>
      </c>
      <c r="M7" t="b">
        <f>I7=Table_1_Area_yield_and_production_estimates_for_the_2021_Scottish_harvest4[[#This Row],[2019-20]]</f>
        <v>1</v>
      </c>
      <c r="N7" t="b">
        <f>J7=Table_1_Area_yield_and_production_estimates_for_the_2021_Scottish_harvest4[[#This Row],[2020-21]]</f>
        <v>1</v>
      </c>
      <c r="O7" t="b">
        <f>K7=Table_1_Area_yield_and_production_estimates_for_the_2021_Scottish_harvest4[[#This Row],[2021-22]]</f>
        <v>1</v>
      </c>
      <c r="Q7" s="69">
        <f>ABS(I7-Table_1_Area_yield_and_production_estimates_for_the_2021_Scottish_harvest4[[#This Row],[2019-20]])</f>
        <v>0</v>
      </c>
      <c r="R7" s="69">
        <f>ABS(J7-Table_1_Area_yield_and_production_estimates_for_the_2021_Scottish_harvest4[[#This Row],[2020-21]])</f>
        <v>0</v>
      </c>
      <c r="S7" s="70">
        <f>ABS(K7-Table_1_Area_yield_and_production_estimates_for_the_2021_Scottish_harvest4[[#This Row],[2021-22]])</f>
        <v>0</v>
      </c>
    </row>
    <row r="8" spans="1:19" ht="24.9" customHeight="1" x14ac:dyDescent="0.35">
      <c r="A8" s="20" t="s">
        <v>39</v>
      </c>
      <c r="B8" s="56" t="s">
        <v>36</v>
      </c>
      <c r="C8" s="60">
        <v>1.2096468350680201</v>
      </c>
      <c r="D8" s="61">
        <v>1.0782420537813799</v>
      </c>
      <c r="E8" s="62">
        <v>1.02274394656269</v>
      </c>
      <c r="H8" s="24"/>
      <c r="I8">
        <v>1.209646835068017</v>
      </c>
      <c r="J8">
        <v>1.0782420537813799</v>
      </c>
      <c r="K8">
        <v>1.002551011561202</v>
      </c>
      <c r="M8" t="b">
        <f>I8=Table_1_Area_yield_and_production_estimates_for_the_2021_Scottish_harvest4[[#This Row],[2019-20]]</f>
        <v>1</v>
      </c>
      <c r="N8" t="b">
        <f>J8=Table_1_Area_yield_and_production_estimates_for_the_2021_Scottish_harvest4[[#This Row],[2020-21]]</f>
        <v>1</v>
      </c>
      <c r="O8" t="b">
        <f>K8=Table_1_Area_yield_and_production_estimates_for_the_2021_Scottish_harvest4[[#This Row],[2021-22]]</f>
        <v>0</v>
      </c>
      <c r="Q8" s="69">
        <f>ABS(I8-Table_1_Area_yield_and_production_estimates_for_the_2021_Scottish_harvest4[[#This Row],[2019-20]])</f>
        <v>3.1086244689504383E-15</v>
      </c>
      <c r="R8" s="69">
        <f>ABS(J8-Table_1_Area_yield_and_production_estimates_for_the_2021_Scottish_harvest4[[#This Row],[2020-21]])</f>
        <v>0</v>
      </c>
      <c r="S8" s="70">
        <f>ABS(K8-Table_1_Area_yield_and_production_estimates_for_the_2021_Scottish_harvest4[[#This Row],[2021-22]])</f>
        <v>2.0192935001487999E-2</v>
      </c>
    </row>
    <row r="9" spans="1:19" ht="24.9" customHeight="1" x14ac:dyDescent="0.35">
      <c r="A9" s="20" t="s">
        <v>39</v>
      </c>
      <c r="B9" s="45" t="s">
        <v>35</v>
      </c>
      <c r="C9" s="60">
        <v>32.229863646251303</v>
      </c>
      <c r="D9" s="61">
        <v>29.4778791943748</v>
      </c>
      <c r="E9" s="62">
        <v>30.952737905303</v>
      </c>
      <c r="H9" s="24"/>
      <c r="I9">
        <v>32.22986364625131</v>
      </c>
      <c r="J9">
        <v>29.477879194374768</v>
      </c>
      <c r="K9">
        <v>30.956443781760878</v>
      </c>
      <c r="M9" t="b">
        <f>I9=Table_1_Area_yield_and_production_estimates_for_the_2021_Scottish_harvest4[[#This Row],[2019-20]]</f>
        <v>1</v>
      </c>
      <c r="N9" t="b">
        <f>J9=Table_1_Area_yield_and_production_estimates_for_the_2021_Scottish_harvest4[[#This Row],[2020-21]]</f>
        <v>1</v>
      </c>
      <c r="O9" t="b">
        <f>K9=Table_1_Area_yield_and_production_estimates_for_the_2021_Scottish_harvest4[[#This Row],[2021-22]]</f>
        <v>0</v>
      </c>
      <c r="Q9" s="69">
        <f>ABS(I9-Table_1_Area_yield_and_production_estimates_for_the_2021_Scottish_harvest4[[#This Row],[2019-20]])</f>
        <v>7.1054273576010019E-15</v>
      </c>
      <c r="R9" s="69">
        <f>ABS(J9-Table_1_Area_yield_and_production_estimates_for_the_2021_Scottish_harvest4[[#This Row],[2020-21]])</f>
        <v>3.1974423109204508E-14</v>
      </c>
      <c r="S9" s="70">
        <f>ABS(K9-Table_1_Area_yield_and_production_estimates_for_the_2021_Scottish_harvest4[[#This Row],[2021-22]])</f>
        <v>3.7058764578787873E-3</v>
      </c>
    </row>
    <row r="10" spans="1:19" ht="24.9" customHeight="1" x14ac:dyDescent="0.35">
      <c r="A10" s="21" t="s">
        <v>27</v>
      </c>
      <c r="B10" s="46" t="s">
        <v>45</v>
      </c>
      <c r="C10" s="48">
        <v>0.45</v>
      </c>
      <c r="D10" s="16">
        <v>0.35499999999999998</v>
      </c>
      <c r="E10" s="49">
        <v>0.435</v>
      </c>
      <c r="H10" s="24"/>
      <c r="I10">
        <v>0.45</v>
      </c>
      <c r="J10">
        <v>0.35499999999999998</v>
      </c>
      <c r="K10">
        <v>0.435</v>
      </c>
      <c r="M10" t="b">
        <f>I10=Table_1_Area_yield_and_production_estimates_for_the_2021_Scottish_harvest4[[#This Row],[2019-20]]</f>
        <v>1</v>
      </c>
      <c r="N10" t="b">
        <f>J10=Table_1_Area_yield_and_production_estimates_for_the_2021_Scottish_harvest4[[#This Row],[2020-21]]</f>
        <v>1</v>
      </c>
      <c r="O10" t="b">
        <f>K10=Table_1_Area_yield_and_production_estimates_for_the_2021_Scottish_harvest4[[#This Row],[2021-22]]</f>
        <v>1</v>
      </c>
      <c r="Q10" s="69">
        <f>ABS(I10-Table_1_Area_yield_and_production_estimates_for_the_2021_Scottish_harvest4[[#This Row],[2019-20]])</f>
        <v>0</v>
      </c>
      <c r="R10" s="69">
        <f>ABS(J10-Table_1_Area_yield_and_production_estimates_for_the_2021_Scottish_harvest4[[#This Row],[2020-21]])</f>
        <v>0</v>
      </c>
      <c r="S10" s="70">
        <f>ABS(K10-Table_1_Area_yield_and_production_estimates_for_the_2021_Scottish_harvest4[[#This Row],[2021-22]])</f>
        <v>0</v>
      </c>
    </row>
    <row r="11" spans="1:19" ht="24.9" customHeight="1" x14ac:dyDescent="0.35">
      <c r="A11" s="21" t="s">
        <v>27</v>
      </c>
      <c r="B11" s="46" t="s">
        <v>36</v>
      </c>
      <c r="C11" s="48">
        <v>0.32006931475172801</v>
      </c>
      <c r="D11" s="16">
        <v>0.24562075447426801</v>
      </c>
      <c r="E11" s="49">
        <v>0.34920060604956199</v>
      </c>
      <c r="H11" s="24"/>
      <c r="I11">
        <v>0.32006931475172851</v>
      </c>
      <c r="J11">
        <v>0.2456207544742684</v>
      </c>
      <c r="K11">
        <v>0.34726395695842971</v>
      </c>
      <c r="M11" t="b">
        <f>I11=Table_1_Area_yield_and_production_estimates_for_the_2021_Scottish_harvest4[[#This Row],[2019-20]]</f>
        <v>0</v>
      </c>
      <c r="N11" t="b">
        <f>J11=Table_1_Area_yield_and_production_estimates_for_the_2021_Scottish_harvest4[[#This Row],[2020-21]]</f>
        <v>1</v>
      </c>
      <c r="O11" t="b">
        <f>K11=Table_1_Area_yield_and_production_estimates_for_the_2021_Scottish_harvest4[[#This Row],[2021-22]]</f>
        <v>0</v>
      </c>
      <c r="Q11" s="69">
        <f>ABS(I11-Table_1_Area_yield_and_production_estimates_for_the_2021_Scottish_harvest4[[#This Row],[2019-20]])</f>
        <v>4.9960036108132044E-16</v>
      </c>
      <c r="R11" s="69">
        <f>ABS(J11-Table_1_Area_yield_and_production_estimates_for_the_2021_Scottish_harvest4[[#This Row],[2020-21]])</f>
        <v>3.8857805861880479E-16</v>
      </c>
      <c r="S11" s="70">
        <f>ABS(K11-Table_1_Area_yield_and_production_estimates_for_the_2021_Scottish_harvest4[[#This Row],[2021-22]])</f>
        <v>1.9366490911322809E-3</v>
      </c>
    </row>
    <row r="12" spans="1:19" ht="24.9" customHeight="1" x14ac:dyDescent="0.35">
      <c r="A12" s="21" t="s">
        <v>27</v>
      </c>
      <c r="B12" s="46" t="s">
        <v>35</v>
      </c>
      <c r="C12" s="48">
        <v>0.58027214880221001</v>
      </c>
      <c r="D12" s="16">
        <v>0.49327030019811902</v>
      </c>
      <c r="E12" s="49">
        <v>0.55614881671526994</v>
      </c>
      <c r="H12" s="24"/>
      <c r="I12">
        <v>0.58027214880220956</v>
      </c>
      <c r="J12">
        <v>0.49327030019811868</v>
      </c>
      <c r="K12">
        <v>0.55160291108527482</v>
      </c>
      <c r="M12" t="b">
        <f>I12=Table_1_Area_yield_and_production_estimates_for_the_2021_Scottish_harvest4[[#This Row],[2019-20]]</f>
        <v>1</v>
      </c>
      <c r="N12" t="b">
        <f>J12=Table_1_Area_yield_and_production_estimates_for_the_2021_Scottish_harvest4[[#This Row],[2020-21]]</f>
        <v>1</v>
      </c>
      <c r="O12" t="b">
        <f>K12=Table_1_Area_yield_and_production_estimates_for_the_2021_Scottish_harvest4[[#This Row],[2021-22]]</f>
        <v>0</v>
      </c>
      <c r="Q12" s="69">
        <f>ABS(I12-Table_1_Area_yield_and_production_estimates_for_the_2021_Scottish_harvest4[[#This Row],[2019-20]])</f>
        <v>4.4408920985006262E-16</v>
      </c>
      <c r="R12" s="69">
        <f>ABS(J12-Table_1_Area_yield_and_production_estimates_for_the_2021_Scottish_harvest4[[#This Row],[2020-21]])</f>
        <v>3.3306690738754696E-16</v>
      </c>
      <c r="S12" s="70">
        <f>ABS(K12-Table_1_Area_yield_and_production_estimates_for_the_2021_Scottish_harvest4[[#This Row],[2021-22]])</f>
        <v>4.5459056299951284E-3</v>
      </c>
    </row>
    <row r="13" spans="1:19" ht="24.9" customHeight="1" x14ac:dyDescent="0.35">
      <c r="A13" s="21" t="s">
        <v>28</v>
      </c>
      <c r="B13" s="46" t="s">
        <v>45</v>
      </c>
      <c r="C13" s="48">
        <v>0.39</v>
      </c>
      <c r="D13" s="16">
        <v>0.41</v>
      </c>
      <c r="E13" s="49">
        <v>0.34</v>
      </c>
      <c r="H13" s="24"/>
      <c r="I13">
        <v>0.39</v>
      </c>
      <c r="J13">
        <v>0.41</v>
      </c>
      <c r="K13">
        <v>0.32500000000000001</v>
      </c>
      <c r="M13" t="b">
        <f>I13=Table_1_Area_yield_and_production_estimates_for_the_2021_Scottish_harvest4[[#This Row],[2019-20]]</f>
        <v>1</v>
      </c>
      <c r="N13" t="b">
        <f>J13=Table_1_Area_yield_and_production_estimates_for_the_2021_Scottish_harvest4[[#This Row],[2020-21]]</f>
        <v>1</v>
      </c>
      <c r="O13" t="b">
        <f>K13=Table_1_Area_yield_and_production_estimates_for_the_2021_Scottish_harvest4[[#This Row],[2021-22]]</f>
        <v>0</v>
      </c>
      <c r="Q13" s="69">
        <f>ABS(I13-Table_1_Area_yield_and_production_estimates_for_the_2021_Scottish_harvest4[[#This Row],[2019-20]])</f>
        <v>0</v>
      </c>
      <c r="R13" s="69">
        <f>ABS(J13-Table_1_Area_yield_and_production_estimates_for_the_2021_Scottish_harvest4[[#This Row],[2020-21]])</f>
        <v>0</v>
      </c>
      <c r="S13" s="70">
        <f>ABS(K13-Table_1_Area_yield_and_production_estimates_for_the_2021_Scottish_harvest4[[#This Row],[2021-22]])</f>
        <v>1.5000000000000013E-2</v>
      </c>
    </row>
    <row r="14" spans="1:19" ht="24.9" customHeight="1" x14ac:dyDescent="0.35">
      <c r="A14" s="21" t="s">
        <v>28</v>
      </c>
      <c r="B14" s="46" t="s">
        <v>36</v>
      </c>
      <c r="C14" s="48">
        <v>0.24340685378375701</v>
      </c>
      <c r="D14" s="16">
        <v>0.25319757289854899</v>
      </c>
      <c r="E14" s="49">
        <v>0.24105764162735099</v>
      </c>
      <c r="H14" s="24"/>
      <c r="I14">
        <v>0.24340685378375659</v>
      </c>
      <c r="J14">
        <v>0.25319757289854872</v>
      </c>
      <c r="K14">
        <v>0.2368773164707047</v>
      </c>
      <c r="M14" t="b">
        <f>I14=Table_1_Area_yield_and_production_estimates_for_the_2021_Scottish_harvest4[[#This Row],[2019-20]]</f>
        <v>1</v>
      </c>
      <c r="N14" t="b">
        <f>J14=Table_1_Area_yield_and_production_estimates_for_the_2021_Scottish_harvest4[[#This Row],[2020-21]]</f>
        <v>1</v>
      </c>
      <c r="O14" t="b">
        <f>K14=Table_1_Area_yield_and_production_estimates_for_the_2021_Scottish_harvest4[[#This Row],[2021-22]]</f>
        <v>0</v>
      </c>
      <c r="Q14" s="69">
        <f>ABS(I14-Table_1_Area_yield_and_production_estimates_for_the_2021_Scottish_harvest4[[#This Row],[2019-20]])</f>
        <v>4.163336342344337E-16</v>
      </c>
      <c r="R14" s="69">
        <f>ABS(J14-Table_1_Area_yield_and_production_estimates_for_the_2021_Scottish_harvest4[[#This Row],[2020-21]])</f>
        <v>2.7755575615628914E-16</v>
      </c>
      <c r="S14" s="70">
        <f>ABS(K14-Table_1_Area_yield_and_production_estimates_for_the_2021_Scottish_harvest4[[#This Row],[2021-22]])</f>
        <v>4.1803251566462918E-3</v>
      </c>
    </row>
    <row r="15" spans="1:19" ht="24.9" customHeight="1" x14ac:dyDescent="0.35">
      <c r="A15" s="21" t="s">
        <v>28</v>
      </c>
      <c r="B15" s="46" t="s">
        <v>35</v>
      </c>
      <c r="C15" s="48">
        <v>0.60947052862969398</v>
      </c>
      <c r="D15" s="16">
        <v>0.69203539060039598</v>
      </c>
      <c r="E15" s="49">
        <v>0.57192037115299799</v>
      </c>
      <c r="H15" s="24"/>
      <c r="I15">
        <v>0.60947052862969375</v>
      </c>
      <c r="J15">
        <v>0.69203539060039621</v>
      </c>
      <c r="K15">
        <v>0.5701061593798763</v>
      </c>
      <c r="M15" t="b">
        <f>I15=Table_1_Area_yield_and_production_estimates_for_the_2021_Scottish_harvest4[[#This Row],[2019-20]]</f>
        <v>1</v>
      </c>
      <c r="N15" t="b">
        <f>J15=Table_1_Area_yield_and_production_estimates_for_the_2021_Scottish_harvest4[[#This Row],[2020-21]]</f>
        <v>1</v>
      </c>
      <c r="O15" t="b">
        <f>K15=Table_1_Area_yield_and_production_estimates_for_the_2021_Scottish_harvest4[[#This Row],[2021-22]]</f>
        <v>0</v>
      </c>
      <c r="Q15" s="69">
        <f>ABS(I15-Table_1_Area_yield_and_production_estimates_for_the_2021_Scottish_harvest4[[#This Row],[2019-20]])</f>
        <v>2.2204460492503131E-16</v>
      </c>
      <c r="R15" s="69">
        <f>ABS(J15-Table_1_Area_yield_and_production_estimates_for_the_2021_Scottish_harvest4[[#This Row],[2020-21]])</f>
        <v>2.2204460492503131E-16</v>
      </c>
      <c r="S15" s="70">
        <f>ABS(K15-Table_1_Area_yield_and_production_estimates_for_the_2021_Scottish_harvest4[[#This Row],[2021-22]])</f>
        <v>1.8142117731216878E-3</v>
      </c>
    </row>
    <row r="16" spans="1:19" ht="24.9" customHeight="1" x14ac:dyDescent="0.35">
      <c r="A16" s="21" t="s">
        <v>29</v>
      </c>
      <c r="B16" s="46" t="s">
        <v>45</v>
      </c>
      <c r="C16" s="48">
        <v>1.51</v>
      </c>
      <c r="D16" s="16">
        <v>1.4850000000000001</v>
      </c>
      <c r="E16" s="49">
        <v>1.5149999999999999</v>
      </c>
      <c r="H16" s="24"/>
      <c r="I16">
        <v>1.51</v>
      </c>
      <c r="J16">
        <v>1.4850000000000001</v>
      </c>
      <c r="K16">
        <v>1.5149999999999999</v>
      </c>
      <c r="M16" t="b">
        <f>I16=Table_1_Area_yield_and_production_estimates_for_the_2021_Scottish_harvest4[[#This Row],[2019-20]]</f>
        <v>1</v>
      </c>
      <c r="N16" t="b">
        <f>J16=Table_1_Area_yield_and_production_estimates_for_the_2021_Scottish_harvest4[[#This Row],[2020-21]]</f>
        <v>1</v>
      </c>
      <c r="O16" t="b">
        <f>K16=Table_1_Area_yield_and_production_estimates_for_the_2021_Scottish_harvest4[[#This Row],[2021-22]]</f>
        <v>1</v>
      </c>
      <c r="Q16" s="69">
        <f>ABS(I16-Table_1_Area_yield_and_production_estimates_for_the_2021_Scottish_harvest4[[#This Row],[2019-20]])</f>
        <v>0</v>
      </c>
      <c r="R16" s="69">
        <f>ABS(J16-Table_1_Area_yield_and_production_estimates_for_the_2021_Scottish_harvest4[[#This Row],[2020-21]])</f>
        <v>0</v>
      </c>
      <c r="S16" s="70">
        <f>ABS(K16-Table_1_Area_yield_and_production_estimates_for_the_2021_Scottish_harvest4[[#This Row],[2021-22]])</f>
        <v>0</v>
      </c>
    </row>
    <row r="17" spans="1:19" ht="24.9" customHeight="1" x14ac:dyDescent="0.35">
      <c r="A17" s="21" t="s">
        <v>29</v>
      </c>
      <c r="B17" s="46" t="s">
        <v>36</v>
      </c>
      <c r="C17" s="48">
        <v>1.32153834690965</v>
      </c>
      <c r="D17" s="16">
        <v>1.3001664640295401</v>
      </c>
      <c r="E17" s="49">
        <v>1.2220564775293501</v>
      </c>
      <c r="H17" s="24"/>
      <c r="I17">
        <v>1.3215383469096491</v>
      </c>
      <c r="J17">
        <v>1.3001664640295429</v>
      </c>
      <c r="K17">
        <v>1.1822811580236581</v>
      </c>
      <c r="M17" t="b">
        <f>I17=Table_1_Area_yield_and_production_estimates_for_the_2021_Scottish_harvest4[[#This Row],[2019-20]]</f>
        <v>1</v>
      </c>
      <c r="N17" t="b">
        <f>J17=Table_1_Area_yield_and_production_estimates_for_the_2021_Scottish_harvest4[[#This Row],[2020-21]]</f>
        <v>1</v>
      </c>
      <c r="O17" t="b">
        <f>K17=Table_1_Area_yield_and_production_estimates_for_the_2021_Scottish_harvest4[[#This Row],[2021-22]]</f>
        <v>0</v>
      </c>
      <c r="Q17" s="69">
        <f>ABS(I17-Table_1_Area_yield_and_production_estimates_for_the_2021_Scottish_harvest4[[#This Row],[2019-20]])</f>
        <v>8.8817841970012523E-16</v>
      </c>
      <c r="R17" s="69">
        <f>ABS(J17-Table_1_Area_yield_and_production_estimates_for_the_2021_Scottish_harvest4[[#This Row],[2020-21]])</f>
        <v>2.886579864025407E-15</v>
      </c>
      <c r="S17" s="70">
        <f>ABS(K17-Table_1_Area_yield_and_production_estimates_for_the_2021_Scottish_harvest4[[#This Row],[2021-22]])</f>
        <v>3.9775319505692019E-2</v>
      </c>
    </row>
    <row r="18" spans="1:19" ht="24.9" customHeight="1" x14ac:dyDescent="0.35">
      <c r="A18" s="21" t="s">
        <v>29</v>
      </c>
      <c r="B18" s="46" t="s">
        <v>35</v>
      </c>
      <c r="C18" s="48">
        <v>1.7470068377977801</v>
      </c>
      <c r="D18" s="16">
        <v>1.7543341437011</v>
      </c>
      <c r="E18" s="49">
        <v>1.7630309871896399</v>
      </c>
      <c r="H18" s="24"/>
      <c r="I18">
        <v>1.7470068377977821</v>
      </c>
      <c r="J18">
        <v>1.754334143701098</v>
      </c>
      <c r="K18">
        <v>1.7628889889343731</v>
      </c>
      <c r="M18" t="b">
        <f>I18=Table_1_Area_yield_and_production_estimates_for_the_2021_Scottish_harvest4[[#This Row],[2019-20]]</f>
        <v>1</v>
      </c>
      <c r="N18" t="b">
        <f>J18=Table_1_Area_yield_and_production_estimates_for_the_2021_Scottish_harvest4[[#This Row],[2020-21]]</f>
        <v>1</v>
      </c>
      <c r="O18" t="b">
        <f>K18=Table_1_Area_yield_and_production_estimates_for_the_2021_Scottish_harvest4[[#This Row],[2021-22]]</f>
        <v>0</v>
      </c>
      <c r="Q18" s="69">
        <f>ABS(I18-Table_1_Area_yield_and_production_estimates_for_the_2021_Scottish_harvest4[[#This Row],[2019-20]])</f>
        <v>1.9984014443252818E-15</v>
      </c>
      <c r="R18" s="69">
        <f>ABS(J18-Table_1_Area_yield_and_production_estimates_for_the_2021_Scottish_harvest4[[#This Row],[2020-21]])</f>
        <v>1.9984014443252818E-15</v>
      </c>
      <c r="S18" s="70">
        <f>ABS(K18-Table_1_Area_yield_and_production_estimates_for_the_2021_Scottish_harvest4[[#This Row],[2021-22]])</f>
        <v>1.4199825526683973E-4</v>
      </c>
    </row>
    <row r="19" spans="1:19" ht="24.9" customHeight="1" x14ac:dyDescent="0.35">
      <c r="A19" s="21" t="s">
        <v>41</v>
      </c>
      <c r="B19" s="46" t="s">
        <v>45</v>
      </c>
      <c r="C19" s="48">
        <v>29.35</v>
      </c>
      <c r="D19" s="16">
        <v>26.33</v>
      </c>
      <c r="E19" s="49">
        <v>27.375</v>
      </c>
      <c r="H19" s="24"/>
      <c r="Q19" s="69"/>
      <c r="R19" s="69"/>
      <c r="S19" s="70"/>
    </row>
    <row r="20" spans="1:19" ht="24.9" customHeight="1" x14ac:dyDescent="0.35">
      <c r="A20" s="21" t="s">
        <v>41</v>
      </c>
      <c r="B20" s="46" t="s">
        <v>36</v>
      </c>
      <c r="C20" s="48">
        <v>16.1588490711198</v>
      </c>
      <c r="D20" s="16">
        <v>15.0766175779668</v>
      </c>
      <c r="E20" s="49">
        <v>16.4610736439326</v>
      </c>
      <c r="H20" s="24"/>
      <c r="Q20" s="69"/>
      <c r="R20" s="69"/>
      <c r="S20" s="70"/>
    </row>
    <row r="21" spans="1:19" ht="24.9" customHeight="1" x14ac:dyDescent="0.35">
      <c r="A21" s="21" t="s">
        <v>41</v>
      </c>
      <c r="B21" s="46" t="s">
        <v>35</v>
      </c>
      <c r="C21" s="48">
        <v>36.995489705521699</v>
      </c>
      <c r="D21" s="16">
        <v>34.868879827339804</v>
      </c>
      <c r="E21" s="49">
        <v>38.9954039924868</v>
      </c>
      <c r="H21" s="24"/>
      <c r="Q21" s="69"/>
      <c r="R21" s="69"/>
      <c r="S21" s="70"/>
    </row>
    <row r="22" spans="1:19" ht="24.9" customHeight="1" x14ac:dyDescent="0.35">
      <c r="A22" s="21" t="s">
        <v>30</v>
      </c>
      <c r="B22" s="46" t="s">
        <v>45</v>
      </c>
      <c r="C22" s="48">
        <v>1.595</v>
      </c>
      <c r="D22" s="16">
        <v>1.7050000000000001</v>
      </c>
      <c r="E22" s="49">
        <v>1.7</v>
      </c>
      <c r="H22" s="24"/>
      <c r="I22">
        <v>1.595</v>
      </c>
      <c r="J22">
        <v>1.7050000000000001</v>
      </c>
      <c r="K22">
        <v>1.7</v>
      </c>
      <c r="M22" t="b">
        <f>I22=C22</f>
        <v>1</v>
      </c>
      <c r="N22" t="b">
        <f t="shared" ref="N22:O22" si="0">J22=D22</f>
        <v>1</v>
      </c>
      <c r="O22" t="b">
        <f t="shared" si="0"/>
        <v>1</v>
      </c>
      <c r="Q22" s="69">
        <f>ABS(I22-Table_1_Area_yield_and_production_estimates_for_the_2021_Scottish_harvest4[[#This Row],[2019-20]])</f>
        <v>0</v>
      </c>
      <c r="R22" s="69">
        <f>ABS(J22-Table_1_Area_yield_and_production_estimates_for_the_2021_Scottish_harvest4[[#This Row],[2020-21]])</f>
        <v>0</v>
      </c>
      <c r="S22" s="70">
        <f>ABS(K22-Table_1_Area_yield_and_production_estimates_for_the_2021_Scottish_harvest4[[#This Row],[2021-22]])</f>
        <v>0</v>
      </c>
    </row>
    <row r="23" spans="1:19" ht="24.9" customHeight="1" x14ac:dyDescent="0.35">
      <c r="A23" s="21" t="s">
        <v>30</v>
      </c>
      <c r="B23" s="46" t="s">
        <v>36</v>
      </c>
      <c r="C23" s="48">
        <v>1.1297641783411301</v>
      </c>
      <c r="D23" s="16">
        <v>1.1478741212502399</v>
      </c>
      <c r="E23" s="49">
        <v>1.1089810107474001</v>
      </c>
      <c r="H23" s="24"/>
      <c r="I23">
        <v>1.1297641783411341</v>
      </c>
      <c r="J23">
        <v>1.1478741212502439</v>
      </c>
      <c r="K23">
        <v>1.079284674763114</v>
      </c>
      <c r="M23" t="b">
        <f t="shared" ref="M23:M24" si="1">I23=C23</f>
        <v>1</v>
      </c>
      <c r="N23" t="b">
        <f t="shared" ref="N23:N24" si="2">J23=D23</f>
        <v>1</v>
      </c>
      <c r="O23" t="b">
        <f t="shared" ref="O23:O24" si="3">K23=E23</f>
        <v>0</v>
      </c>
      <c r="Q23" s="69">
        <f>ABS(I23-Table_1_Area_yield_and_production_estimates_for_the_2021_Scottish_harvest4[[#This Row],[2019-20]])</f>
        <v>3.9968028886505635E-15</v>
      </c>
      <c r="R23" s="69">
        <f>ABS(J23-Table_1_Area_yield_and_production_estimates_for_the_2021_Scottish_harvest4[[#This Row],[2020-21]])</f>
        <v>3.9968028886505635E-15</v>
      </c>
      <c r="S23" s="70">
        <f>ABS(K23-Table_1_Area_yield_and_production_estimates_for_the_2021_Scottish_harvest4[[#This Row],[2021-22]])</f>
        <v>2.9696335984286115E-2</v>
      </c>
    </row>
    <row r="24" spans="1:19" ht="24.9" customHeight="1" x14ac:dyDescent="0.35">
      <c r="A24" s="21" t="s">
        <v>30</v>
      </c>
      <c r="B24" s="46" t="s">
        <v>35</v>
      </c>
      <c r="C24" s="48">
        <v>2.2269269560114302</v>
      </c>
      <c r="D24" s="16">
        <v>2.2253637776005899</v>
      </c>
      <c r="E24" s="49">
        <v>2.3979059869926398</v>
      </c>
      <c r="I24">
        <v>2.2269269560114289</v>
      </c>
      <c r="J24">
        <v>2.2253637776005939</v>
      </c>
      <c r="K24">
        <v>2.3381968520623011</v>
      </c>
      <c r="M24" t="b">
        <f t="shared" si="1"/>
        <v>1</v>
      </c>
      <c r="N24" t="b">
        <f t="shared" si="2"/>
        <v>1</v>
      </c>
      <c r="O24" t="b">
        <f t="shared" si="3"/>
        <v>0</v>
      </c>
      <c r="Q24" s="69">
        <f>ABS(I24-Table_1_Area_yield_and_production_estimates_for_the_2021_Scottish_harvest4[[#This Row],[2019-20]])</f>
        <v>1.3322676295501878E-15</v>
      </c>
      <c r="R24" s="69">
        <f>ABS(J24-Table_1_Area_yield_and_production_estimates_for_the_2021_Scottish_harvest4[[#This Row],[2020-21]])</f>
        <v>3.9968028886505635E-15</v>
      </c>
      <c r="S24" s="70">
        <f>ABS(K24-Table_1_Area_yield_and_production_estimates_for_the_2021_Scottish_harvest4[[#This Row],[2021-22]])</f>
        <v>5.9709134930338692E-2</v>
      </c>
    </row>
    <row r="25" spans="1:19" ht="26.25" customHeight="1" x14ac:dyDescent="0.35">
      <c r="C25" s="15"/>
      <c r="D25" s="4"/>
      <c r="E25" s="4"/>
    </row>
    <row r="26" spans="1:19" ht="26.15" customHeight="1" x14ac:dyDescent="0.35">
      <c r="A26" s="1"/>
      <c r="B26" s="1"/>
      <c r="C26" s="3"/>
      <c r="E26" s="5"/>
    </row>
    <row r="27" spans="1:19" x14ac:dyDescent="0.35">
      <c r="A27" s="25"/>
      <c r="B27" s="25"/>
      <c r="C27" s="47"/>
      <c r="D27" s="47"/>
      <c r="E27" s="47"/>
    </row>
    <row r="28" spans="1:19" x14ac:dyDescent="0.35">
      <c r="C28" s="3"/>
      <c r="D28" s="3"/>
      <c r="E28" s="3"/>
    </row>
    <row r="29" spans="1:19" ht="64.5" customHeight="1" x14ac:dyDescent="0.35"/>
    <row r="31" spans="1:19" x14ac:dyDescent="0.35">
      <c r="E31" s="26"/>
    </row>
    <row r="32" spans="1:19" x14ac:dyDescent="0.35">
      <c r="E32" s="26"/>
    </row>
    <row r="33" spans="5:5" x14ac:dyDescent="0.35">
      <c r="E33" s="26"/>
    </row>
    <row r="34" spans="5:5" x14ac:dyDescent="0.35">
      <c r="E34" s="26"/>
    </row>
    <row r="35" spans="5:5" x14ac:dyDescent="0.35">
      <c r="E35" s="26"/>
    </row>
    <row r="36" spans="5:5" x14ac:dyDescent="0.35">
      <c r="E36" s="1"/>
    </row>
    <row r="37" spans="5:5" x14ac:dyDescent="0.35">
      <c r="E37" s="26"/>
    </row>
    <row r="39" spans="5:5" ht="12.75" customHeight="1" x14ac:dyDescent="0.35"/>
    <row r="40" spans="5:5" ht="12.75" customHeight="1" x14ac:dyDescent="0.35"/>
    <row r="41" spans="5:5" ht="12.75" customHeight="1" x14ac:dyDescent="0.35"/>
  </sheetData>
  <phoneticPr fontId="21" type="noConversion"/>
  <hyperlinks>
    <hyperlink ref="A4" location="'Table of contents'!A1" display="Link to table of contents" xr:uid="{42BF36C8-473E-4D96-977A-100272D89CDE}"/>
  </hyperlinks>
  <pageMargins left="0.75" right="0.75" top="1" bottom="1" header="0.5" footer="0.5"/>
  <pageSetup paperSize="9" scale="61" orientation="landscape" r:id="rId1"/>
  <headerFooter alignWithMargins="0"/>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D8156-BE13-4464-88BA-4E83433967D7}">
  <sheetPr>
    <pageSetUpPr fitToPage="1"/>
  </sheetPr>
  <dimension ref="A1:S41"/>
  <sheetViews>
    <sheetView showGridLines="0" topLeftCell="E1" zoomScale="80" zoomScaleNormal="80" workbookViewId="0">
      <selection activeCell="S7" sqref="S7:S24"/>
    </sheetView>
  </sheetViews>
  <sheetFormatPr defaultRowHeight="14.5" x14ac:dyDescent="0.35"/>
  <cols>
    <col min="1" max="1" width="43.54296875" customWidth="1"/>
    <col min="2" max="2" width="30.6328125" customWidth="1"/>
    <col min="3" max="5" width="15.54296875" customWidth="1"/>
    <col min="6" max="8" width="14" customWidth="1"/>
    <col min="9" max="9" width="13.08984375" customWidth="1"/>
    <col min="10" max="10" width="15.36328125" customWidth="1"/>
    <col min="11" max="11" width="7.54296875" customWidth="1"/>
    <col min="12" max="12" width="1.54296875" customWidth="1"/>
    <col min="13" max="13" width="8.08984375" customWidth="1"/>
    <col min="14" max="14" width="13.7265625" customWidth="1"/>
    <col min="17" max="17" width="10.90625" customWidth="1"/>
    <col min="18" max="18" width="11.7265625" customWidth="1"/>
    <col min="19" max="19" width="12.26953125" customWidth="1"/>
  </cols>
  <sheetData>
    <row r="1" spans="1:19" ht="15.5" x14ac:dyDescent="0.35">
      <c r="A1" s="34" t="s">
        <v>38</v>
      </c>
      <c r="B1" s="34"/>
      <c r="H1" s="23"/>
      <c r="I1" s="23"/>
    </row>
    <row r="2" spans="1:19" ht="15.5" x14ac:dyDescent="0.35">
      <c r="A2" s="40" t="s">
        <v>2</v>
      </c>
      <c r="B2" s="40"/>
      <c r="H2" s="24"/>
      <c r="I2" s="24"/>
    </row>
    <row r="3" spans="1:19" ht="15.5" x14ac:dyDescent="0.35">
      <c r="A3" s="40" t="s">
        <v>24</v>
      </c>
      <c r="B3" s="40"/>
      <c r="H3" s="24"/>
      <c r="I3" s="24"/>
    </row>
    <row r="4" spans="1:19" ht="15.5" x14ac:dyDescent="0.35">
      <c r="A4" s="31" t="s">
        <v>18</v>
      </c>
      <c r="B4" s="31"/>
      <c r="H4" s="24"/>
      <c r="I4">
        <v>2024</v>
      </c>
      <c r="M4" t="s">
        <v>57</v>
      </c>
      <c r="Q4" t="s">
        <v>58</v>
      </c>
    </row>
    <row r="5" spans="1:19" ht="16" thickBot="1" x14ac:dyDescent="0.4">
      <c r="A5" s="35" t="s">
        <v>42</v>
      </c>
      <c r="B5" s="35"/>
      <c r="H5" s="24"/>
    </row>
    <row r="6" spans="1:19" ht="69" customHeight="1" thickBot="1" x14ac:dyDescent="0.4">
      <c r="A6" s="17" t="s">
        <v>26</v>
      </c>
      <c r="B6" s="44" t="s">
        <v>34</v>
      </c>
      <c r="C6" s="18" t="s">
        <v>31</v>
      </c>
      <c r="D6" s="18" t="s">
        <v>32</v>
      </c>
      <c r="E6" s="19" t="s">
        <v>33</v>
      </c>
      <c r="H6" s="24"/>
      <c r="I6">
        <v>2019</v>
      </c>
      <c r="J6">
        <v>2020</v>
      </c>
      <c r="K6">
        <v>2021</v>
      </c>
      <c r="M6">
        <v>2019</v>
      </c>
      <c r="N6">
        <v>2020</v>
      </c>
      <c r="O6">
        <v>2021</v>
      </c>
      <c r="Q6">
        <v>2019</v>
      </c>
      <c r="R6">
        <v>2020</v>
      </c>
      <c r="S6">
        <v>2021</v>
      </c>
    </row>
    <row r="7" spans="1:19" ht="24.9" customHeight="1" x14ac:dyDescent="0.35">
      <c r="A7" s="20" t="s">
        <v>39</v>
      </c>
      <c r="B7" s="45" t="s">
        <v>45</v>
      </c>
      <c r="C7" s="57">
        <v>58.975000000000001</v>
      </c>
      <c r="D7" s="58">
        <v>53.185000000000002</v>
      </c>
      <c r="E7" s="59">
        <v>53.25</v>
      </c>
      <c r="H7" s="24"/>
      <c r="I7">
        <v>58.975000000000001</v>
      </c>
      <c r="J7">
        <v>53.185000000000002</v>
      </c>
      <c r="K7">
        <v>53.11</v>
      </c>
      <c r="M7" t="b">
        <f>I7=Table_1_Area_yield_and_production_estimates_for_the_2021_Scottish_harvest45[[#This Row],[2019-20]]</f>
        <v>1</v>
      </c>
      <c r="N7" t="b">
        <f>J7=Table_1_Area_yield_and_production_estimates_for_the_2021_Scottish_harvest45[[#This Row],[2020-21]]</f>
        <v>1</v>
      </c>
      <c r="O7" t="b">
        <f>K7=Table_1_Area_yield_and_production_estimates_for_the_2021_Scottish_harvest45[[#This Row],[2021-22]]</f>
        <v>0</v>
      </c>
      <c r="Q7" s="69">
        <f>ABS(I7-Table_1_Area_yield_and_production_estimates_for_the_2021_Scottish_harvest45[[#This Row],[2019-20]])</f>
        <v>0</v>
      </c>
      <c r="R7" s="69">
        <f>ABS(J7-Table_1_Area_yield_and_production_estimates_for_the_2021_Scottish_harvest45[[#This Row],[2020-21]])</f>
        <v>0</v>
      </c>
      <c r="S7" s="70">
        <f>ABS(K7-Table_1_Area_yield_and_production_estimates_for_the_2021_Scottish_harvest45[[#This Row],[2021-22]])</f>
        <v>0.14000000000000057</v>
      </c>
    </row>
    <row r="8" spans="1:19" ht="24.9" customHeight="1" x14ac:dyDescent="0.35">
      <c r="A8" s="20" t="s">
        <v>39</v>
      </c>
      <c r="B8" s="56" t="s">
        <v>36</v>
      </c>
      <c r="C8" s="60">
        <v>25.554143926031301</v>
      </c>
      <c r="D8" s="61">
        <v>22.161226440482</v>
      </c>
      <c r="E8" s="62">
        <v>24.127079282248602</v>
      </c>
      <c r="F8" s="2"/>
      <c r="H8" s="24"/>
      <c r="I8">
        <v>25.554143926031291</v>
      </c>
      <c r="J8">
        <v>22.16122644048205</v>
      </c>
      <c r="K8">
        <v>23.73384625651682</v>
      </c>
      <c r="M8" t="b">
        <f>I8=Table_1_Area_yield_and_production_estimates_for_the_2021_Scottish_harvest45[[#This Row],[2019-20]]</f>
        <v>1</v>
      </c>
      <c r="N8" t="b">
        <f>J8=Table_1_Area_yield_and_production_estimates_for_the_2021_Scottish_harvest45[[#This Row],[2020-21]]</f>
        <v>0</v>
      </c>
      <c r="O8" t="b">
        <f>K8=Table_1_Area_yield_and_production_estimates_for_the_2021_Scottish_harvest45[[#This Row],[2021-22]]</f>
        <v>0</v>
      </c>
      <c r="Q8" s="69">
        <f>ABS(I8-Table_1_Area_yield_and_production_estimates_for_the_2021_Scottish_harvest45[[#This Row],[2019-20]])</f>
        <v>1.0658141036401503E-14</v>
      </c>
      <c r="R8" s="69">
        <f>ABS(J8-Table_1_Area_yield_and_production_estimates_for_the_2021_Scottish_harvest45[[#This Row],[2020-21]])</f>
        <v>4.9737991503207013E-14</v>
      </c>
      <c r="S8" s="70">
        <f>ABS(K8-Table_1_Area_yield_and_production_estimates_for_the_2021_Scottish_harvest45[[#This Row],[2021-22]])</f>
        <v>0.39323302573178154</v>
      </c>
    </row>
    <row r="9" spans="1:19" ht="24.9" customHeight="1" x14ac:dyDescent="0.35">
      <c r="A9" s="20" t="s">
        <v>39</v>
      </c>
      <c r="B9" s="45" t="s">
        <v>35</v>
      </c>
      <c r="C9" s="60">
        <v>106.798963546297</v>
      </c>
      <c r="D9" s="61">
        <v>91.653766092416902</v>
      </c>
      <c r="E9" s="62">
        <v>93.691443861574299</v>
      </c>
      <c r="H9" s="24"/>
      <c r="I9">
        <v>106.7989635462973</v>
      </c>
      <c r="J9">
        <v>91.653766092416944</v>
      </c>
      <c r="K9">
        <v>93.216517327045295</v>
      </c>
      <c r="M9" t="b">
        <f>I9=Table_1_Area_yield_and_production_estimates_for_the_2021_Scottish_harvest45[[#This Row],[2019-20]]</f>
        <v>1</v>
      </c>
      <c r="N9" t="b">
        <f>J9=Table_1_Area_yield_and_production_estimates_for_the_2021_Scottish_harvest45[[#This Row],[2020-21]]</f>
        <v>1</v>
      </c>
      <c r="O9" t="b">
        <f>K9=Table_1_Area_yield_and_production_estimates_for_the_2021_Scottish_harvest45[[#This Row],[2021-22]]</f>
        <v>0</v>
      </c>
      <c r="Q9" s="69">
        <f>ABS(I9-Table_1_Area_yield_and_production_estimates_for_the_2021_Scottish_harvest45[[#This Row],[2019-20]])</f>
        <v>2.9842794901924208E-13</v>
      </c>
      <c r="R9" s="69">
        <f>ABS(J9-Table_1_Area_yield_and_production_estimates_for_the_2021_Scottish_harvest45[[#This Row],[2020-21]])</f>
        <v>4.2632564145606011E-14</v>
      </c>
      <c r="S9" s="70">
        <f>ABS(K9-Table_1_Area_yield_and_production_estimates_for_the_2021_Scottish_harvest45[[#This Row],[2021-22]])</f>
        <v>0.47492653452900413</v>
      </c>
    </row>
    <row r="10" spans="1:19" ht="24.9" customHeight="1" x14ac:dyDescent="0.35">
      <c r="A10" s="21" t="s">
        <v>27</v>
      </c>
      <c r="B10" s="46" t="s">
        <v>45</v>
      </c>
      <c r="C10" s="48">
        <v>28.54</v>
      </c>
      <c r="D10" s="16">
        <v>17.164999999999999</v>
      </c>
      <c r="E10" s="49">
        <v>27.425000000000001</v>
      </c>
      <c r="H10" s="24"/>
      <c r="I10">
        <v>28.54</v>
      </c>
      <c r="J10">
        <v>17.164999999999999</v>
      </c>
      <c r="K10">
        <v>27.425000000000001</v>
      </c>
      <c r="M10" t="b">
        <f>I10=Table_1_Area_yield_and_production_estimates_for_the_2021_Scottish_harvest45[[#This Row],[2019-20]]</f>
        <v>1</v>
      </c>
      <c r="N10" t="b">
        <f>J10=Table_1_Area_yield_and_production_estimates_for_the_2021_Scottish_harvest45[[#This Row],[2020-21]]</f>
        <v>1</v>
      </c>
      <c r="O10" t="b">
        <f>K10=Table_1_Area_yield_and_production_estimates_for_the_2021_Scottish_harvest45[[#This Row],[2021-22]]</f>
        <v>1</v>
      </c>
      <c r="Q10" s="69">
        <f>ABS(I10-Table_1_Area_yield_and_production_estimates_for_the_2021_Scottish_harvest45[[#This Row],[2019-20]])</f>
        <v>0</v>
      </c>
      <c r="R10" s="69">
        <f>ABS(J10-Table_1_Area_yield_and_production_estimates_for_the_2021_Scottish_harvest45[[#This Row],[2020-21]])</f>
        <v>0</v>
      </c>
      <c r="S10" s="70">
        <f>ABS(K10-Table_1_Area_yield_and_production_estimates_for_the_2021_Scottish_harvest45[[#This Row],[2021-22]])</f>
        <v>0</v>
      </c>
    </row>
    <row r="11" spans="1:19" ht="24.9" customHeight="1" x14ac:dyDescent="0.35">
      <c r="A11" s="21" t="s">
        <v>27</v>
      </c>
      <c r="B11" s="46" t="s">
        <v>36</v>
      </c>
      <c r="C11" s="48">
        <v>1.0803256189299499</v>
      </c>
      <c r="D11" s="16">
        <v>-20.972970294223501</v>
      </c>
      <c r="E11" s="49">
        <v>6.5785442861964398</v>
      </c>
      <c r="H11" s="24"/>
      <c r="I11">
        <v>1.0803256189299471</v>
      </c>
      <c r="J11">
        <v>-20.972970294223501</v>
      </c>
      <c r="K11">
        <v>6.6385281887790608</v>
      </c>
      <c r="M11" t="b">
        <f>I11=Table_1_Area_yield_and_production_estimates_for_the_2021_Scottish_harvest45[[#This Row],[2019-20]]</f>
        <v>1</v>
      </c>
      <c r="N11" t="b">
        <f>J11=Table_1_Area_yield_and_production_estimates_for_the_2021_Scottish_harvest45[[#This Row],[2020-21]]</f>
        <v>1</v>
      </c>
      <c r="O11" t="b">
        <f>K11=Table_1_Area_yield_and_production_estimates_for_the_2021_Scottish_harvest45[[#This Row],[2021-22]]</f>
        <v>0</v>
      </c>
      <c r="Q11" s="69">
        <f>ABS(I11-Table_1_Area_yield_and_production_estimates_for_the_2021_Scottish_harvest45[[#This Row],[2019-20]])</f>
        <v>2.886579864025407E-15</v>
      </c>
      <c r="R11" s="69">
        <f>ABS(J11-Table_1_Area_yield_and_production_estimates_for_the_2021_Scottish_harvest45[[#This Row],[2020-21]])</f>
        <v>0</v>
      </c>
      <c r="S11" s="70">
        <f>ABS(K11-Table_1_Area_yield_and_production_estimates_for_the_2021_Scottish_harvest45[[#This Row],[2021-22]])</f>
        <v>5.9983902582620985E-2</v>
      </c>
    </row>
    <row r="12" spans="1:19" ht="24.9" customHeight="1" x14ac:dyDescent="0.35">
      <c r="A12" s="21" t="s">
        <v>27</v>
      </c>
      <c r="B12" s="46" t="s">
        <v>35</v>
      </c>
      <c r="C12" s="48">
        <v>64.239359619964802</v>
      </c>
      <c r="D12" s="16">
        <v>43.560350996998302</v>
      </c>
      <c r="E12" s="49">
        <v>50.862444309758601</v>
      </c>
      <c r="H12" s="24"/>
      <c r="I12">
        <v>64.239359619964773</v>
      </c>
      <c r="J12">
        <v>43.560350996998302</v>
      </c>
      <c r="K12">
        <v>50.843538041056718</v>
      </c>
      <c r="M12" t="b">
        <f>I12=Table_1_Area_yield_and_production_estimates_for_the_2021_Scottish_harvest45[[#This Row],[2019-20]]</f>
        <v>1</v>
      </c>
      <c r="N12" t="b">
        <f>J12=Table_1_Area_yield_and_production_estimates_for_the_2021_Scottish_harvest45[[#This Row],[2020-21]]</f>
        <v>1</v>
      </c>
      <c r="O12" t="b">
        <f>K12=Table_1_Area_yield_and_production_estimates_for_the_2021_Scottish_harvest45[[#This Row],[2021-22]]</f>
        <v>0</v>
      </c>
      <c r="Q12" s="69">
        <f>ABS(I12-Table_1_Area_yield_and_production_estimates_for_the_2021_Scottish_harvest45[[#This Row],[2019-20]])</f>
        <v>2.8421709430404007E-14</v>
      </c>
      <c r="R12" s="69">
        <f>ABS(J12-Table_1_Area_yield_and_production_estimates_for_the_2021_Scottish_harvest45[[#This Row],[2020-21]])</f>
        <v>0</v>
      </c>
      <c r="S12" s="70">
        <f>ABS(K12-Table_1_Area_yield_and_production_estimates_for_the_2021_Scottish_harvest45[[#This Row],[2021-22]])</f>
        <v>1.8906268701883278E-2</v>
      </c>
    </row>
    <row r="13" spans="1:19" ht="24.9" customHeight="1" x14ac:dyDescent="0.35">
      <c r="A13" s="21" t="s">
        <v>28</v>
      </c>
      <c r="B13" s="46" t="s">
        <v>45</v>
      </c>
      <c r="C13" s="48">
        <v>29.16</v>
      </c>
      <c r="D13" s="16">
        <v>12.1</v>
      </c>
      <c r="E13" s="49">
        <v>17.440000000000001</v>
      </c>
      <c r="H13" s="24"/>
      <c r="I13">
        <v>29.16</v>
      </c>
      <c r="J13">
        <v>12.1</v>
      </c>
      <c r="K13">
        <v>17.440000000000001</v>
      </c>
      <c r="M13" t="b">
        <f>I13=Table_1_Area_yield_and_production_estimates_for_the_2021_Scottish_harvest45[[#This Row],[2019-20]]</f>
        <v>1</v>
      </c>
      <c r="N13" t="b">
        <f>J13=Table_1_Area_yield_and_production_estimates_for_the_2021_Scottish_harvest45[[#This Row],[2020-21]]</f>
        <v>1</v>
      </c>
      <c r="O13" t="b">
        <f>K13=Table_1_Area_yield_and_production_estimates_for_the_2021_Scottish_harvest45[[#This Row],[2021-22]]</f>
        <v>1</v>
      </c>
      <c r="Q13" s="69">
        <f>ABS(I13-Table_1_Area_yield_and_production_estimates_for_the_2021_Scottish_harvest45[[#This Row],[2019-20]])</f>
        <v>0</v>
      </c>
      <c r="R13" s="69">
        <f>ABS(J13-Table_1_Area_yield_and_production_estimates_for_the_2021_Scottish_harvest45[[#This Row],[2020-21]])</f>
        <v>0</v>
      </c>
      <c r="S13" s="70">
        <f>ABS(K13-Table_1_Area_yield_and_production_estimates_for_the_2021_Scottish_harvest45[[#This Row],[2021-22]])</f>
        <v>0</v>
      </c>
    </row>
    <row r="14" spans="1:19" ht="24.9" customHeight="1" x14ac:dyDescent="0.35">
      <c r="A14" s="21" t="s">
        <v>28</v>
      </c>
      <c r="B14" s="46" t="s">
        <v>36</v>
      </c>
      <c r="C14" s="48">
        <v>3.09538474127298</v>
      </c>
      <c r="D14" s="16">
        <v>-8.2665659268233593</v>
      </c>
      <c r="E14" s="49">
        <v>-21.261805105450499</v>
      </c>
      <c r="H14" s="24"/>
      <c r="I14">
        <v>3.095384741272976</v>
      </c>
      <c r="J14">
        <v>-8.2665659268233576</v>
      </c>
      <c r="K14">
        <v>-21.582301464696009</v>
      </c>
      <c r="M14" t="b">
        <f>I14=Table_1_Area_yield_and_production_estimates_for_the_2021_Scottish_harvest45[[#This Row],[2019-20]]</f>
        <v>1</v>
      </c>
      <c r="N14" t="b">
        <f>J14=Table_1_Area_yield_and_production_estimates_for_the_2021_Scottish_harvest45[[#This Row],[2020-21]]</f>
        <v>1</v>
      </c>
      <c r="O14" t="b">
        <f>K14=Table_1_Area_yield_and_production_estimates_for_the_2021_Scottish_harvest45[[#This Row],[2021-22]]</f>
        <v>0</v>
      </c>
      <c r="Q14" s="69">
        <f>ABS(I14-Table_1_Area_yield_and_production_estimates_for_the_2021_Scottish_harvest45[[#This Row],[2019-20]])</f>
        <v>3.9968028886505635E-15</v>
      </c>
      <c r="R14" s="69">
        <f>ABS(J14-Table_1_Area_yield_and_production_estimates_for_the_2021_Scottish_harvest45[[#This Row],[2020-21]])</f>
        <v>1.7763568394002505E-15</v>
      </c>
      <c r="S14" s="70">
        <f>ABS(K14-Table_1_Area_yield_and_production_estimates_for_the_2021_Scottish_harvest45[[#This Row],[2021-22]])</f>
        <v>0.32049635924551012</v>
      </c>
    </row>
    <row r="15" spans="1:19" ht="24.9" customHeight="1" x14ac:dyDescent="0.35">
      <c r="A15" s="21" t="s">
        <v>28</v>
      </c>
      <c r="B15" s="46" t="s">
        <v>35</v>
      </c>
      <c r="C15" s="48">
        <v>50.037450549951799</v>
      </c>
      <c r="D15" s="16">
        <v>48.730103266687799</v>
      </c>
      <c r="E15" s="49">
        <v>38.675449546808998</v>
      </c>
      <c r="H15" s="24"/>
      <c r="I15">
        <v>50.037450549951778</v>
      </c>
      <c r="J15">
        <v>48.730103266687813</v>
      </c>
      <c r="K15">
        <v>37.818805045044087</v>
      </c>
      <c r="M15" t="b">
        <f>I15=Table_1_Area_yield_and_production_estimates_for_the_2021_Scottish_harvest45[[#This Row],[2019-20]]</f>
        <v>1</v>
      </c>
      <c r="N15" t="b">
        <f>J15=Table_1_Area_yield_and_production_estimates_for_the_2021_Scottish_harvest45[[#This Row],[2020-21]]</f>
        <v>1</v>
      </c>
      <c r="O15" t="b">
        <f>K15=Table_1_Area_yield_and_production_estimates_for_the_2021_Scottish_harvest45[[#This Row],[2021-22]]</f>
        <v>0</v>
      </c>
      <c r="Q15" s="69">
        <f>ABS(I15-Table_1_Area_yield_and_production_estimates_for_the_2021_Scottish_harvest45[[#This Row],[2019-20]])</f>
        <v>2.1316282072803006E-14</v>
      </c>
      <c r="R15" s="69">
        <f>ABS(J15-Table_1_Area_yield_and_production_estimates_for_the_2021_Scottish_harvest45[[#This Row],[2020-21]])</f>
        <v>1.4210854715202004E-14</v>
      </c>
      <c r="S15" s="70">
        <f>ABS(K15-Table_1_Area_yield_and_production_estimates_for_the_2021_Scottish_harvest45[[#This Row],[2021-22]])</f>
        <v>0.85664450176491158</v>
      </c>
    </row>
    <row r="16" spans="1:19" ht="24.9" customHeight="1" x14ac:dyDescent="0.35">
      <c r="A16" s="21" t="s">
        <v>29</v>
      </c>
      <c r="B16" s="46" t="s">
        <v>45</v>
      </c>
      <c r="C16" s="48">
        <v>305.35500000000002</v>
      </c>
      <c r="D16" s="16">
        <v>324.42</v>
      </c>
      <c r="E16" s="49">
        <v>275.7</v>
      </c>
      <c r="H16" s="24"/>
      <c r="I16">
        <v>305.35500000000002</v>
      </c>
      <c r="J16">
        <v>324.42</v>
      </c>
      <c r="K16">
        <v>275.7</v>
      </c>
      <c r="M16" t="b">
        <f>I16=Table_1_Area_yield_and_production_estimates_for_the_2021_Scottish_harvest45[[#This Row],[2019-20]]</f>
        <v>1</v>
      </c>
      <c r="N16" t="b">
        <f>J16=Table_1_Area_yield_and_production_estimates_for_the_2021_Scottish_harvest45[[#This Row],[2020-21]]</f>
        <v>1</v>
      </c>
      <c r="O16" t="b">
        <f>K16=Table_1_Area_yield_and_production_estimates_for_the_2021_Scottish_harvest45[[#This Row],[2021-22]]</f>
        <v>1</v>
      </c>
      <c r="Q16" s="69">
        <f>ABS(I16-Table_1_Area_yield_and_production_estimates_for_the_2021_Scottish_harvest45[[#This Row],[2019-20]])</f>
        <v>0</v>
      </c>
      <c r="R16" s="69">
        <f>ABS(J16-Table_1_Area_yield_and_production_estimates_for_the_2021_Scottish_harvest45[[#This Row],[2020-21]])</f>
        <v>0</v>
      </c>
      <c r="S16" s="70">
        <f>ABS(K16-Table_1_Area_yield_and_production_estimates_for_the_2021_Scottish_harvest45[[#This Row],[2021-22]])</f>
        <v>0</v>
      </c>
    </row>
    <row r="17" spans="1:19" ht="24.9" customHeight="1" x14ac:dyDescent="0.35">
      <c r="A17" s="21" t="s">
        <v>29</v>
      </c>
      <c r="B17" s="46" t="s">
        <v>36</v>
      </c>
      <c r="C17" s="48">
        <v>221.628219158767</v>
      </c>
      <c r="D17" s="16">
        <v>253.839249667617</v>
      </c>
      <c r="E17" s="49">
        <v>231.357365407863</v>
      </c>
      <c r="H17" s="24"/>
      <c r="I17">
        <v>221.62821915876671</v>
      </c>
      <c r="J17">
        <v>253.83924966761711</v>
      </c>
      <c r="K17">
        <v>231.63688895348159</v>
      </c>
      <c r="M17" t="b">
        <f>I17=Table_1_Area_yield_and_production_estimates_for_the_2021_Scottish_harvest45[[#This Row],[2019-20]]</f>
        <v>1</v>
      </c>
      <c r="N17" t="b">
        <f>J17=Table_1_Area_yield_and_production_estimates_for_the_2021_Scottish_harvest45[[#This Row],[2020-21]]</f>
        <v>1</v>
      </c>
      <c r="O17" t="b">
        <f>K17=Table_1_Area_yield_and_production_estimates_for_the_2021_Scottish_harvest45[[#This Row],[2021-22]]</f>
        <v>0</v>
      </c>
      <c r="Q17" s="69">
        <f>ABS(I17-Table_1_Area_yield_and_production_estimates_for_the_2021_Scottish_harvest45[[#This Row],[2019-20]])</f>
        <v>2.8421709430404007E-13</v>
      </c>
      <c r="R17" s="69">
        <f>ABS(J17-Table_1_Area_yield_and_production_estimates_for_the_2021_Scottish_harvest45[[#This Row],[2020-21]])</f>
        <v>1.1368683772161603E-13</v>
      </c>
      <c r="S17" s="70">
        <f>ABS(K17-Table_1_Area_yield_and_production_estimates_for_the_2021_Scottish_harvest45[[#This Row],[2021-22]])</f>
        <v>0.27952354561858783</v>
      </c>
    </row>
    <row r="18" spans="1:19" ht="24.9" customHeight="1" x14ac:dyDescent="0.35">
      <c r="A18" s="21" t="s">
        <v>29</v>
      </c>
      <c r="B18" s="46" t="s">
        <v>35</v>
      </c>
      <c r="C18" s="48">
        <v>370.94806716677499</v>
      </c>
      <c r="D18" s="16">
        <v>384.77058561782201</v>
      </c>
      <c r="E18" s="49">
        <v>372.14179187921297</v>
      </c>
      <c r="H18" s="24"/>
      <c r="I18">
        <v>370.94806716677527</v>
      </c>
      <c r="J18">
        <v>384.77058561782218</v>
      </c>
      <c r="K18">
        <v>372.16281410365201</v>
      </c>
      <c r="M18" t="b">
        <f>I18=Table_1_Area_yield_and_production_estimates_for_the_2021_Scottish_harvest45[[#This Row],[2019-20]]</f>
        <v>1</v>
      </c>
      <c r="N18" t="b">
        <f>J18=Table_1_Area_yield_and_production_estimates_for_the_2021_Scottish_harvest45[[#This Row],[2020-21]]</f>
        <v>1</v>
      </c>
      <c r="O18" t="b">
        <f>K18=Table_1_Area_yield_and_production_estimates_for_the_2021_Scottish_harvest45[[#This Row],[2021-22]]</f>
        <v>0</v>
      </c>
      <c r="Q18" s="69">
        <f>ABS(I18-Table_1_Area_yield_and_production_estimates_for_the_2021_Scottish_harvest45[[#This Row],[2019-20]])</f>
        <v>2.8421709430404007E-13</v>
      </c>
      <c r="R18" s="69">
        <f>ABS(J18-Table_1_Area_yield_and_production_estimates_for_the_2021_Scottish_harvest45[[#This Row],[2020-21]])</f>
        <v>1.7053025658242404E-13</v>
      </c>
      <c r="S18" s="70">
        <f>ABS(K18-Table_1_Area_yield_and_production_estimates_for_the_2021_Scottish_harvest45[[#This Row],[2021-22]])</f>
        <v>2.1022224439036563E-2</v>
      </c>
    </row>
    <row r="19" spans="1:19" ht="24.9" customHeight="1" x14ac:dyDescent="0.35">
      <c r="A19" s="21" t="s">
        <v>41</v>
      </c>
      <c r="B19" s="46" t="s">
        <v>45</v>
      </c>
      <c r="C19" s="48">
        <v>66.144999999999996</v>
      </c>
      <c r="D19" s="16">
        <v>60.8</v>
      </c>
      <c r="E19" s="49">
        <v>60.704999999999998</v>
      </c>
      <c r="H19" s="24"/>
      <c r="Q19" s="69"/>
      <c r="R19" s="69"/>
      <c r="S19" s="70"/>
    </row>
    <row r="20" spans="1:19" ht="24.9" customHeight="1" x14ac:dyDescent="0.35">
      <c r="A20" s="21" t="s">
        <v>41</v>
      </c>
      <c r="B20" s="46" t="s">
        <v>36</v>
      </c>
      <c r="C20" s="48">
        <v>30.052640815042501</v>
      </c>
      <c r="D20" s="16">
        <v>30.3687008681067</v>
      </c>
      <c r="E20" s="49">
        <v>32.644446270705899</v>
      </c>
      <c r="H20" s="24"/>
      <c r="Q20" s="69"/>
      <c r="R20" s="69"/>
      <c r="S20" s="70"/>
    </row>
    <row r="21" spans="1:19" ht="24.9" customHeight="1" x14ac:dyDescent="0.35">
      <c r="A21" s="21" t="s">
        <v>41</v>
      </c>
      <c r="B21" s="46" t="s">
        <v>35</v>
      </c>
      <c r="C21" s="48">
        <v>104.387305880878</v>
      </c>
      <c r="D21" s="16">
        <v>92.987254958903506</v>
      </c>
      <c r="E21" s="49">
        <v>91.8545418587303</v>
      </c>
      <c r="H21" s="24"/>
      <c r="Q21" s="69"/>
      <c r="R21" s="69"/>
      <c r="S21" s="70"/>
    </row>
    <row r="22" spans="1:19" ht="24.9" customHeight="1" x14ac:dyDescent="0.35">
      <c r="A22" s="21" t="s">
        <v>30</v>
      </c>
      <c r="B22" s="46" t="s">
        <v>45</v>
      </c>
      <c r="C22" s="48">
        <v>42.185000000000002</v>
      </c>
      <c r="D22" s="16">
        <v>47.695</v>
      </c>
      <c r="E22" s="49">
        <v>58.65</v>
      </c>
      <c r="H22" s="24"/>
      <c r="I22">
        <v>42.185000000000002</v>
      </c>
      <c r="J22">
        <v>47.695</v>
      </c>
      <c r="K22">
        <v>57.975000000000001</v>
      </c>
      <c r="M22" t="b">
        <f>I22=Table_1_Area_yield_and_production_estimates_for_the_2021_Scottish_harvest45[[#This Row],[2019-20]]</f>
        <v>1</v>
      </c>
      <c r="N22" t="b">
        <f>J22=Table_1_Area_yield_and_production_estimates_for_the_2021_Scottish_harvest45[[#This Row],[2020-21]]</f>
        <v>1</v>
      </c>
      <c r="O22" t="b">
        <f>K22=Table_1_Area_yield_and_production_estimates_for_the_2021_Scottish_harvest45[[#This Row],[2021-22]]</f>
        <v>0</v>
      </c>
      <c r="Q22" s="69">
        <f>ABS(I22-Table_1_Area_yield_and_production_estimates_for_the_2021_Scottish_harvest45[[#This Row],[2019-20]])</f>
        <v>0</v>
      </c>
      <c r="R22" s="69">
        <f>ABS(J22-Table_1_Area_yield_and_production_estimates_for_the_2021_Scottish_harvest45[[#This Row],[2020-21]])</f>
        <v>0</v>
      </c>
      <c r="S22" s="70">
        <f>ABS(K22-Table_1_Area_yield_and_production_estimates_for_the_2021_Scottish_harvest45[[#This Row],[2021-22]])</f>
        <v>0.67499999999999716</v>
      </c>
    </row>
    <row r="23" spans="1:19" ht="24.9" customHeight="1" x14ac:dyDescent="0.35">
      <c r="A23" s="21" t="s">
        <v>30</v>
      </c>
      <c r="B23" s="46" t="s">
        <v>36</v>
      </c>
      <c r="C23" s="48">
        <v>23.984448090732901</v>
      </c>
      <c r="D23" s="16">
        <v>30.189368277895401</v>
      </c>
      <c r="E23" s="49">
        <v>16.212687095273399</v>
      </c>
      <c r="H23" s="24"/>
      <c r="I23">
        <v>23.98444809073289</v>
      </c>
      <c r="J23">
        <v>30.189368277895369</v>
      </c>
      <c r="K23">
        <v>16.17618018005366</v>
      </c>
      <c r="M23" t="b">
        <f>I23=Table_1_Area_yield_and_production_estimates_for_the_2021_Scottish_harvest45[[#This Row],[2019-20]]</f>
        <v>1</v>
      </c>
      <c r="N23" t="b">
        <f>J23=Table_1_Area_yield_and_production_estimates_for_the_2021_Scottish_harvest45[[#This Row],[2020-21]]</f>
        <v>1</v>
      </c>
      <c r="O23" t="b">
        <f>K23=Table_1_Area_yield_and_production_estimates_for_the_2021_Scottish_harvest45[[#This Row],[2021-22]]</f>
        <v>0</v>
      </c>
      <c r="Q23" s="69">
        <f>ABS(I23-Table_1_Area_yield_and_production_estimates_for_the_2021_Scottish_harvest45[[#This Row],[2019-20]])</f>
        <v>1.0658141036401503E-14</v>
      </c>
      <c r="R23" s="69">
        <f>ABS(J23-Table_1_Area_yield_and_production_estimates_for_the_2021_Scottish_harvest45[[#This Row],[2020-21]])</f>
        <v>3.1974423109204508E-14</v>
      </c>
      <c r="S23" s="70">
        <f>ABS(K23-Table_1_Area_yield_and_production_estimates_for_the_2021_Scottish_harvest45[[#This Row],[2021-22]])</f>
        <v>3.6506915219739255E-2</v>
      </c>
    </row>
    <row r="24" spans="1:19" ht="24.9" customHeight="1" x14ac:dyDescent="0.35">
      <c r="A24" s="21" t="s">
        <v>30</v>
      </c>
      <c r="B24" s="46" t="s">
        <v>35</v>
      </c>
      <c r="C24" s="48">
        <v>78.147743869141905</v>
      </c>
      <c r="D24" s="16">
        <v>65.970554836719401</v>
      </c>
      <c r="E24" s="49">
        <v>70.647987976840795</v>
      </c>
      <c r="I24">
        <v>78.14774386914192</v>
      </c>
      <c r="J24">
        <v>65.970554836719373</v>
      </c>
      <c r="K24">
        <v>70.489980073655929</v>
      </c>
      <c r="M24" t="b">
        <f>I24=Table_1_Area_yield_and_production_estimates_for_the_2021_Scottish_harvest45[[#This Row],[2019-20]]</f>
        <v>1</v>
      </c>
      <c r="N24" t="b">
        <f>J24=Table_1_Area_yield_and_production_estimates_for_the_2021_Scottish_harvest45[[#This Row],[2020-21]]</f>
        <v>1</v>
      </c>
      <c r="O24" t="b">
        <f>K24=Table_1_Area_yield_and_production_estimates_for_the_2021_Scottish_harvest45[[#This Row],[2021-22]]</f>
        <v>0</v>
      </c>
      <c r="Q24" s="69">
        <f>ABS(I24-Table_1_Area_yield_and_production_estimates_for_the_2021_Scottish_harvest45[[#This Row],[2019-20]])</f>
        <v>1.4210854715202004E-14</v>
      </c>
      <c r="R24" s="69">
        <f>ABS(J24-Table_1_Area_yield_and_production_estimates_for_the_2021_Scottish_harvest45[[#This Row],[2020-21]])</f>
        <v>2.8421709430404007E-14</v>
      </c>
      <c r="S24" s="70">
        <f>ABS(K24-Table_1_Area_yield_and_production_estimates_for_the_2021_Scottish_harvest45[[#This Row],[2021-22]])</f>
        <v>0.1580079031848669</v>
      </c>
    </row>
    <row r="25" spans="1:19" ht="26.25" customHeight="1" x14ac:dyDescent="0.35">
      <c r="C25" s="15"/>
      <c r="D25" s="4"/>
      <c r="E25" s="4"/>
    </row>
    <row r="26" spans="1:19" ht="26.15" customHeight="1" x14ac:dyDescent="0.35">
      <c r="A26" s="1"/>
      <c r="B26" s="1"/>
      <c r="C26" s="3"/>
      <c r="E26" s="5"/>
    </row>
    <row r="27" spans="1:19" x14ac:dyDescent="0.35">
      <c r="A27" s="25"/>
      <c r="B27" s="25"/>
      <c r="C27" s="47"/>
      <c r="D27" s="47"/>
      <c r="E27" s="47"/>
    </row>
    <row r="28" spans="1:19" x14ac:dyDescent="0.35">
      <c r="C28" s="3"/>
      <c r="D28" s="3"/>
      <c r="E28" s="3"/>
    </row>
    <row r="29" spans="1:19" ht="64.5" customHeight="1" x14ac:dyDescent="0.35"/>
    <row r="31" spans="1:19" x14ac:dyDescent="0.35">
      <c r="E31" s="26"/>
    </row>
    <row r="32" spans="1:19" x14ac:dyDescent="0.35">
      <c r="E32" s="26"/>
    </row>
    <row r="33" spans="5:5" x14ac:dyDescent="0.35">
      <c r="E33" s="26"/>
    </row>
    <row r="34" spans="5:5" x14ac:dyDescent="0.35">
      <c r="E34" s="26"/>
    </row>
    <row r="35" spans="5:5" x14ac:dyDescent="0.35">
      <c r="E35" s="26"/>
    </row>
    <row r="36" spans="5:5" x14ac:dyDescent="0.35">
      <c r="E36" s="1"/>
    </row>
    <row r="37" spans="5:5" x14ac:dyDescent="0.35">
      <c r="E37" s="26"/>
    </row>
    <row r="39" spans="5:5" ht="12.75" customHeight="1" x14ac:dyDescent="0.35"/>
    <row r="40" spans="5:5" ht="12.75" customHeight="1" x14ac:dyDescent="0.35"/>
    <row r="41" spans="5:5" ht="12.75" customHeight="1" x14ac:dyDescent="0.35"/>
  </sheetData>
  <hyperlinks>
    <hyperlink ref="A4" location="'Table of contents'!A1" display="Link to table of contents" xr:uid="{34433C91-D736-484C-BCA7-B9816C73D6F2}"/>
  </hyperlinks>
  <pageMargins left="0.75" right="0.75" top="1" bottom="1" header="0.5" footer="0.5"/>
  <pageSetup paperSize="9" scale="61" orientation="landscape" r:id="rId1"/>
  <headerFooter alignWithMargins="0"/>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85C0A-72AE-4A7A-B82A-6A9DD6F3BD86}">
  <sheetPr>
    <pageSetUpPr fitToPage="1"/>
  </sheetPr>
  <dimension ref="A1:S41"/>
  <sheetViews>
    <sheetView showGridLines="0" topLeftCell="E1" zoomScale="80" zoomScaleNormal="80" workbookViewId="0">
      <selection activeCell="S7" sqref="S7:S24"/>
    </sheetView>
  </sheetViews>
  <sheetFormatPr defaultRowHeight="14.5" x14ac:dyDescent="0.35"/>
  <cols>
    <col min="1" max="1" width="43" customWidth="1"/>
    <col min="2" max="2" width="30.6328125" customWidth="1"/>
    <col min="3" max="5" width="15.54296875" customWidth="1"/>
    <col min="6" max="8" width="14" customWidth="1"/>
    <col min="9" max="9" width="13.08984375" customWidth="1"/>
    <col min="10" max="10" width="12.453125" bestFit="1" customWidth="1"/>
    <col min="11" max="11" width="7.54296875" customWidth="1"/>
    <col min="12" max="12" width="6.90625" customWidth="1"/>
    <col min="13" max="13" width="8.08984375" customWidth="1"/>
    <col min="14" max="14" width="5.81640625" bestFit="1" customWidth="1"/>
    <col min="17" max="17" width="12.36328125" bestFit="1" customWidth="1"/>
    <col min="18" max="19" width="10.90625" bestFit="1" customWidth="1"/>
  </cols>
  <sheetData>
    <row r="1" spans="1:19" ht="15.5" x14ac:dyDescent="0.35">
      <c r="A1" s="34" t="s">
        <v>52</v>
      </c>
      <c r="B1" s="34"/>
      <c r="H1" s="23"/>
      <c r="I1" s="23"/>
    </row>
    <row r="2" spans="1:19" ht="15.5" x14ac:dyDescent="0.35">
      <c r="A2" s="40" t="s">
        <v>2</v>
      </c>
      <c r="B2" s="40"/>
      <c r="H2" s="24"/>
      <c r="I2" s="24"/>
    </row>
    <row r="3" spans="1:19" ht="15.5" x14ac:dyDescent="0.35">
      <c r="A3" s="40" t="s">
        <v>24</v>
      </c>
      <c r="B3" s="40"/>
      <c r="H3" s="24"/>
      <c r="I3" s="24"/>
    </row>
    <row r="4" spans="1:19" ht="15.5" x14ac:dyDescent="0.35">
      <c r="A4" s="31" t="s">
        <v>18</v>
      </c>
      <c r="B4" s="31"/>
      <c r="H4" s="24"/>
      <c r="I4">
        <v>2024</v>
      </c>
      <c r="M4" t="s">
        <v>57</v>
      </c>
      <c r="Q4" t="s">
        <v>58</v>
      </c>
    </row>
    <row r="5" spans="1:19" ht="16" thickBot="1" x14ac:dyDescent="0.4">
      <c r="A5" s="35" t="s">
        <v>42</v>
      </c>
      <c r="B5" s="35"/>
      <c r="H5" s="24"/>
    </row>
    <row r="6" spans="1:19" ht="69" customHeight="1" thickBot="1" x14ac:dyDescent="0.4">
      <c r="A6" s="17" t="s">
        <v>26</v>
      </c>
      <c r="B6" s="44" t="s">
        <v>34</v>
      </c>
      <c r="C6" s="18" t="s">
        <v>31</v>
      </c>
      <c r="D6" s="18" t="s">
        <v>32</v>
      </c>
      <c r="E6" s="19" t="s">
        <v>33</v>
      </c>
      <c r="H6" s="24"/>
      <c r="I6">
        <v>2019</v>
      </c>
      <c r="J6">
        <v>2020</v>
      </c>
      <c r="K6">
        <v>2021</v>
      </c>
      <c r="M6">
        <v>2019</v>
      </c>
      <c r="N6">
        <v>2020</v>
      </c>
      <c r="O6">
        <v>2021</v>
      </c>
      <c r="Q6">
        <v>2019</v>
      </c>
      <c r="R6">
        <v>2020</v>
      </c>
      <c r="S6">
        <v>2021</v>
      </c>
    </row>
    <row r="7" spans="1:19" ht="24.9" customHeight="1" x14ac:dyDescent="0.35">
      <c r="A7" s="20" t="s">
        <v>39</v>
      </c>
      <c r="B7" s="45" t="s">
        <v>45</v>
      </c>
      <c r="C7" s="50">
        <v>0.22500000000000001</v>
      </c>
      <c r="D7" s="51">
        <v>0.28499999999999998</v>
      </c>
      <c r="E7" s="52">
        <v>0.26500000000000001</v>
      </c>
      <c r="F7" s="2"/>
      <c r="H7" s="24"/>
      <c r="I7">
        <v>0.22500000000000001</v>
      </c>
      <c r="J7">
        <v>0.28499999999999998</v>
      </c>
      <c r="K7">
        <v>0.255</v>
      </c>
      <c r="M7" t="b">
        <f>Table_1_Area_yield_and_production_estimates_for_the_2021_Scottish_harvest456[[#This Row],[2019-20]]=I7</f>
        <v>1</v>
      </c>
      <c r="N7" t="b">
        <f>Table_1_Area_yield_and_production_estimates_for_the_2021_Scottish_harvest456[[#This Row],[2020-21]]=J7</f>
        <v>1</v>
      </c>
      <c r="O7" t="b">
        <f>Table_1_Area_yield_and_production_estimates_for_the_2021_Scottish_harvest456[[#This Row],[2021-22]]=K7</f>
        <v>0</v>
      </c>
      <c r="Q7" s="69">
        <f>ABS(I7-Table_1_Area_yield_and_production_estimates_for_the_2021_Scottish_harvest456[[#This Row],[2019-20]])</f>
        <v>0</v>
      </c>
      <c r="R7" s="69">
        <f>ABS(J7-Table_1_Area_yield_and_production_estimates_for_the_2021_Scottish_harvest456[[#This Row],[2020-21]])</f>
        <v>0</v>
      </c>
      <c r="S7" s="70">
        <f>ABS(K7-Table_1_Area_yield_and_production_estimates_for_the_2021_Scottish_harvest456[[#This Row],[2021-22]])</f>
        <v>1.0000000000000009E-2</v>
      </c>
    </row>
    <row r="8" spans="1:19" ht="24.9" customHeight="1" x14ac:dyDescent="0.35">
      <c r="A8" s="20" t="s">
        <v>39</v>
      </c>
      <c r="B8" s="56" t="s">
        <v>36</v>
      </c>
      <c r="C8" s="63">
        <v>0.104998705107839</v>
      </c>
      <c r="D8" s="64">
        <v>0.121747152710152</v>
      </c>
      <c r="E8" s="65">
        <v>0.111081212543679</v>
      </c>
      <c r="H8" s="24"/>
      <c r="I8">
        <v>0.10499870510783939</v>
      </c>
      <c r="J8">
        <v>0.1217471527101517</v>
      </c>
      <c r="K8">
        <v>0.11104481536934439</v>
      </c>
      <c r="M8" t="b">
        <f>Table_1_Area_yield_and_production_estimates_for_the_2021_Scottish_harvest456[[#This Row],[2019-20]]=I8</f>
        <v>1</v>
      </c>
      <c r="N8" t="b">
        <f>Table_1_Area_yield_and_production_estimates_for_the_2021_Scottish_harvest456[[#This Row],[2020-21]]=J8</f>
        <v>1</v>
      </c>
      <c r="O8" t="b">
        <f>Table_1_Area_yield_and_production_estimates_for_the_2021_Scottish_harvest456[[#This Row],[2021-22]]=K8</f>
        <v>0</v>
      </c>
      <c r="Q8" s="69">
        <f>ABS(I8-Table_1_Area_yield_and_production_estimates_for_the_2021_Scottish_harvest456[[#This Row],[2019-20]])</f>
        <v>3.8857805861880479E-16</v>
      </c>
      <c r="R8" s="69">
        <f>ABS(J8-Table_1_Area_yield_and_production_estimates_for_the_2021_Scottish_harvest456[[#This Row],[2020-21]])</f>
        <v>3.0531133177191805E-16</v>
      </c>
      <c r="S8" s="70">
        <f>ABS(K8-Table_1_Area_yield_and_production_estimates_for_the_2021_Scottish_harvest456[[#This Row],[2021-22]])</f>
        <v>3.6397174334609761E-5</v>
      </c>
    </row>
    <row r="9" spans="1:19" ht="24.9" customHeight="1" x14ac:dyDescent="0.35">
      <c r="A9" s="20" t="s">
        <v>39</v>
      </c>
      <c r="B9" s="45" t="s">
        <v>35</v>
      </c>
      <c r="C9" s="63">
        <v>0.58731294413156798</v>
      </c>
      <c r="D9" s="64">
        <v>0.67826760333283798</v>
      </c>
      <c r="E9" s="65">
        <v>0.64464676345409899</v>
      </c>
      <c r="H9" s="24"/>
      <c r="I9">
        <v>0.58731294413156787</v>
      </c>
      <c r="J9">
        <v>0.67826760333283787</v>
      </c>
      <c r="K9">
        <v>0.64496762921902684</v>
      </c>
      <c r="M9" t="b">
        <f>Table_1_Area_yield_and_production_estimates_for_the_2021_Scottish_harvest456[[#This Row],[2019-20]]=I9</f>
        <v>1</v>
      </c>
      <c r="N9" t="b">
        <f>Table_1_Area_yield_and_production_estimates_for_the_2021_Scottish_harvest456[[#This Row],[2020-21]]=J9</f>
        <v>1</v>
      </c>
      <c r="O9" t="b">
        <f>Table_1_Area_yield_and_production_estimates_for_the_2021_Scottish_harvest456[[#This Row],[2021-22]]=K9</f>
        <v>0</v>
      </c>
      <c r="Q9" s="69">
        <f>ABS(I9-Table_1_Area_yield_and_production_estimates_for_the_2021_Scottish_harvest456[[#This Row],[2019-20]])</f>
        <v>1.1102230246251565E-16</v>
      </c>
      <c r="R9" s="69">
        <f>ABS(J9-Table_1_Area_yield_and_production_estimates_for_the_2021_Scottish_harvest456[[#This Row],[2020-21]])</f>
        <v>1.1102230246251565E-16</v>
      </c>
      <c r="S9" s="70">
        <f>ABS(K9-Table_1_Area_yield_and_production_estimates_for_the_2021_Scottish_harvest456[[#This Row],[2021-22]])</f>
        <v>3.208657649278468E-4</v>
      </c>
    </row>
    <row r="10" spans="1:19" ht="24.9" customHeight="1" x14ac:dyDescent="0.35">
      <c r="A10" s="21" t="s">
        <v>27</v>
      </c>
      <c r="B10" s="46" t="s">
        <v>45</v>
      </c>
      <c r="C10" s="53">
        <v>0.80500000000000005</v>
      </c>
      <c r="D10" s="54">
        <v>0.88</v>
      </c>
      <c r="E10" s="55">
        <v>0.79500000000000004</v>
      </c>
      <c r="H10" s="24"/>
      <c r="I10">
        <v>0.80500000000000005</v>
      </c>
      <c r="J10">
        <v>0.88</v>
      </c>
      <c r="K10">
        <v>0.79500000000000004</v>
      </c>
      <c r="M10" t="b">
        <f>Table_1_Area_yield_and_production_estimates_for_the_2021_Scottish_harvest456[[#This Row],[2019-20]]=I10</f>
        <v>1</v>
      </c>
      <c r="N10" t="b">
        <f>Table_1_Area_yield_and_production_estimates_for_the_2021_Scottish_harvest456[[#This Row],[2020-21]]=J10</f>
        <v>1</v>
      </c>
      <c r="O10" t="b">
        <f>Table_1_Area_yield_and_production_estimates_for_the_2021_Scottish_harvest456[[#This Row],[2021-22]]=K10</f>
        <v>1</v>
      </c>
      <c r="Q10" s="69">
        <f>ABS(I10-Table_1_Area_yield_and_production_estimates_for_the_2021_Scottish_harvest456[[#This Row],[2019-20]])</f>
        <v>0</v>
      </c>
      <c r="R10" s="69">
        <f>ABS(J10-Table_1_Area_yield_and_production_estimates_for_the_2021_Scottish_harvest456[[#This Row],[2020-21]])</f>
        <v>0</v>
      </c>
      <c r="S10" s="70">
        <f>ABS(K10-Table_1_Area_yield_and_production_estimates_for_the_2021_Scottish_harvest456[[#This Row],[2021-22]])</f>
        <v>0</v>
      </c>
    </row>
    <row r="11" spans="1:19" ht="24.9" customHeight="1" x14ac:dyDescent="0.35">
      <c r="A11" s="21" t="s">
        <v>27</v>
      </c>
      <c r="B11" s="46" t="s">
        <v>36</v>
      </c>
      <c r="C11" s="53">
        <v>0.67193415878698404</v>
      </c>
      <c r="D11" s="54">
        <v>0.66786043097498604</v>
      </c>
      <c r="E11" s="55">
        <v>0.68167295479560897</v>
      </c>
      <c r="H11" s="24"/>
      <c r="I11">
        <v>0.67193415878698448</v>
      </c>
      <c r="J11">
        <v>0.66786043097498582</v>
      </c>
      <c r="K11">
        <v>0.68175773311429555</v>
      </c>
      <c r="M11" t="b">
        <f>Table_1_Area_yield_and_production_estimates_for_the_2021_Scottish_harvest456[[#This Row],[2019-20]]=I11</f>
        <v>1</v>
      </c>
      <c r="N11" t="b">
        <f>Table_1_Area_yield_and_production_estimates_for_the_2021_Scottish_harvest456[[#This Row],[2020-21]]=J11</f>
        <v>1</v>
      </c>
      <c r="O11" t="b">
        <f>Table_1_Area_yield_and_production_estimates_for_the_2021_Scottish_harvest456[[#This Row],[2021-22]]=K11</f>
        <v>0</v>
      </c>
      <c r="Q11" s="69">
        <f>ABS(I11-Table_1_Area_yield_and_production_estimates_for_the_2021_Scottish_harvest456[[#This Row],[2019-20]])</f>
        <v>4.4408920985006262E-16</v>
      </c>
      <c r="R11" s="69">
        <f>ABS(J11-Table_1_Area_yield_and_production_estimates_for_the_2021_Scottish_harvest456[[#This Row],[2020-21]])</f>
        <v>2.2204460492503131E-16</v>
      </c>
      <c r="S11" s="70">
        <f>ABS(K11-Table_1_Area_yield_and_production_estimates_for_the_2021_Scottish_harvest456[[#This Row],[2021-22]])</f>
        <v>8.4778318686584697E-5</v>
      </c>
    </row>
    <row r="12" spans="1:19" ht="24.9" customHeight="1" x14ac:dyDescent="0.35">
      <c r="A12" s="21" t="s">
        <v>27</v>
      </c>
      <c r="B12" s="46" t="s">
        <v>35</v>
      </c>
      <c r="C12" s="53">
        <v>0.94355117704879499</v>
      </c>
      <c r="D12" s="54">
        <v>1.13493571414956</v>
      </c>
      <c r="E12" s="55">
        <v>0.90462531470112695</v>
      </c>
      <c r="H12" s="24"/>
      <c r="I12">
        <v>0.94355117704879532</v>
      </c>
      <c r="J12">
        <v>1.1349357141495569</v>
      </c>
      <c r="K12">
        <v>0.90395973104507332</v>
      </c>
      <c r="M12" t="b">
        <f>Table_1_Area_yield_and_production_estimates_for_the_2021_Scottish_harvest456[[#This Row],[2019-20]]=I12</f>
        <v>1</v>
      </c>
      <c r="N12" t="b">
        <f>Table_1_Area_yield_and_production_estimates_for_the_2021_Scottish_harvest456[[#This Row],[2020-21]]=J12</f>
        <v>1</v>
      </c>
      <c r="O12" t="b">
        <f>Table_1_Area_yield_and_production_estimates_for_the_2021_Scottish_harvest456[[#This Row],[2021-22]]=K12</f>
        <v>0</v>
      </c>
      <c r="Q12" s="69">
        <f>ABS(I12-Table_1_Area_yield_and_production_estimates_for_the_2021_Scottish_harvest456[[#This Row],[2019-20]])</f>
        <v>3.3306690738754696E-16</v>
      </c>
      <c r="R12" s="69">
        <f>ABS(J12-Table_1_Area_yield_and_production_estimates_for_the_2021_Scottish_harvest456[[#This Row],[2020-21]])</f>
        <v>3.1086244689504383E-15</v>
      </c>
      <c r="S12" s="70">
        <f>ABS(K12-Table_1_Area_yield_and_production_estimates_for_the_2021_Scottish_harvest456[[#This Row],[2021-22]])</f>
        <v>6.6558365605362546E-4</v>
      </c>
    </row>
    <row r="13" spans="1:19" ht="24.9" customHeight="1" x14ac:dyDescent="0.35">
      <c r="A13" s="21" t="s">
        <v>28</v>
      </c>
      <c r="B13" s="46" t="s">
        <v>45</v>
      </c>
      <c r="C13" s="53">
        <v>0.76500000000000001</v>
      </c>
      <c r="D13" s="54">
        <v>0.89500000000000002</v>
      </c>
      <c r="E13" s="55">
        <v>0.86499999999999999</v>
      </c>
      <c r="H13" s="24"/>
      <c r="I13">
        <v>0.76500000000000001</v>
      </c>
      <c r="J13">
        <v>0.89500000000000002</v>
      </c>
      <c r="K13">
        <v>0.86499999999999999</v>
      </c>
      <c r="M13" t="b">
        <f>Table_1_Area_yield_and_production_estimates_for_the_2021_Scottish_harvest456[[#This Row],[2019-20]]=I13</f>
        <v>1</v>
      </c>
      <c r="N13" t="b">
        <f>Table_1_Area_yield_and_production_estimates_for_the_2021_Scottish_harvest456[[#This Row],[2020-21]]=J13</f>
        <v>1</v>
      </c>
      <c r="O13" t="b">
        <f>Table_1_Area_yield_and_production_estimates_for_the_2021_Scottish_harvest456[[#This Row],[2021-22]]=K13</f>
        <v>1</v>
      </c>
      <c r="Q13" s="69">
        <f>ABS(I13-Table_1_Area_yield_and_production_estimates_for_the_2021_Scottish_harvest456[[#This Row],[2019-20]])</f>
        <v>0</v>
      </c>
      <c r="R13" s="69">
        <f>ABS(J13-Table_1_Area_yield_and_production_estimates_for_the_2021_Scottish_harvest456[[#This Row],[2020-21]])</f>
        <v>0</v>
      </c>
      <c r="S13" s="70">
        <f>ABS(K13-Table_1_Area_yield_and_production_estimates_for_the_2021_Scottish_harvest456[[#This Row],[2021-22]])</f>
        <v>0</v>
      </c>
    </row>
    <row r="14" spans="1:19" ht="24.9" customHeight="1" x14ac:dyDescent="0.35">
      <c r="A14" s="21" t="s">
        <v>28</v>
      </c>
      <c r="B14" s="46" t="s">
        <v>36</v>
      </c>
      <c r="C14" s="53">
        <v>0.61233377185208204</v>
      </c>
      <c r="D14" s="54">
        <v>0.63023845540025103</v>
      </c>
      <c r="E14" s="55">
        <v>0.682969476708428</v>
      </c>
      <c r="H14" s="24"/>
      <c r="I14">
        <v>0.6123337718520816</v>
      </c>
      <c r="J14">
        <v>0.63023845540025125</v>
      </c>
      <c r="K14">
        <v>0.68360145454608667</v>
      </c>
      <c r="M14" t="b">
        <f>Table_1_Area_yield_and_production_estimates_for_the_2021_Scottish_harvest456[[#This Row],[2019-20]]=I14</f>
        <v>1</v>
      </c>
      <c r="N14" t="b">
        <f>Table_1_Area_yield_and_production_estimates_for_the_2021_Scottish_harvest456[[#This Row],[2020-21]]=J14</f>
        <v>1</v>
      </c>
      <c r="O14" t="b">
        <f>Table_1_Area_yield_and_production_estimates_for_the_2021_Scottish_harvest456[[#This Row],[2021-22]]=K14</f>
        <v>0</v>
      </c>
      <c r="Q14" s="69">
        <f>ABS(I14-Table_1_Area_yield_and_production_estimates_for_the_2021_Scottish_harvest456[[#This Row],[2019-20]])</f>
        <v>4.4408920985006262E-16</v>
      </c>
      <c r="R14" s="69">
        <f>ABS(J14-Table_1_Area_yield_and_production_estimates_for_the_2021_Scottish_harvest456[[#This Row],[2020-21]])</f>
        <v>2.2204460492503131E-16</v>
      </c>
      <c r="S14" s="70">
        <f>ABS(K14-Table_1_Area_yield_and_production_estimates_for_the_2021_Scottish_harvest456[[#This Row],[2021-22]])</f>
        <v>6.3197783765867044E-4</v>
      </c>
    </row>
    <row r="15" spans="1:19" ht="24.9" customHeight="1" x14ac:dyDescent="0.35">
      <c r="A15" s="21" t="s">
        <v>28</v>
      </c>
      <c r="B15" s="46" t="s">
        <v>35</v>
      </c>
      <c r="C15" s="53">
        <v>0.94352583107981802</v>
      </c>
      <c r="D15" s="54">
        <v>1.0555759458854399</v>
      </c>
      <c r="E15" s="55">
        <v>1.1451032862766799</v>
      </c>
      <c r="H15" s="24"/>
      <c r="I15">
        <v>0.94352583107981824</v>
      </c>
      <c r="J15">
        <v>1.0555759458854379</v>
      </c>
      <c r="K15">
        <v>1.148623517320051</v>
      </c>
      <c r="M15" t="b">
        <f>Table_1_Area_yield_and_production_estimates_for_the_2021_Scottish_harvest456[[#This Row],[2019-20]]=I15</f>
        <v>1</v>
      </c>
      <c r="N15" t="b">
        <f>Table_1_Area_yield_and_production_estimates_for_the_2021_Scottish_harvest456[[#This Row],[2020-21]]=J15</f>
        <v>1</v>
      </c>
      <c r="O15" t="b">
        <f>Table_1_Area_yield_and_production_estimates_for_the_2021_Scottish_harvest456[[#This Row],[2021-22]]=K15</f>
        <v>0</v>
      </c>
      <c r="Q15" s="69">
        <f>ABS(I15-Table_1_Area_yield_and_production_estimates_for_the_2021_Scottish_harvest456[[#This Row],[2019-20]])</f>
        <v>2.2204460492503131E-16</v>
      </c>
      <c r="R15" s="69">
        <f>ABS(J15-Table_1_Area_yield_and_production_estimates_for_the_2021_Scottish_harvest456[[#This Row],[2020-21]])</f>
        <v>1.9984014443252818E-15</v>
      </c>
      <c r="S15" s="70">
        <f>ABS(K15-Table_1_Area_yield_and_production_estimates_for_the_2021_Scottish_harvest456[[#This Row],[2021-22]])</f>
        <v>3.5202310433710693E-3</v>
      </c>
    </row>
    <row r="16" spans="1:19" ht="24.9" customHeight="1" x14ac:dyDescent="0.35">
      <c r="A16" s="21" t="s">
        <v>29</v>
      </c>
      <c r="B16" s="46" t="s">
        <v>45</v>
      </c>
      <c r="C16" s="53">
        <v>0.16500000000000001</v>
      </c>
      <c r="D16" s="54">
        <v>0.17499999999999999</v>
      </c>
      <c r="E16" s="55">
        <v>0.185</v>
      </c>
      <c r="H16" s="24"/>
      <c r="I16">
        <v>0.16500000000000001</v>
      </c>
      <c r="J16">
        <v>0.17499999999999999</v>
      </c>
      <c r="K16">
        <v>0.185</v>
      </c>
      <c r="M16" t="b">
        <f>Table_1_Area_yield_and_production_estimates_for_the_2021_Scottish_harvest456[[#This Row],[2019-20]]=I16</f>
        <v>1</v>
      </c>
      <c r="N16" t="b">
        <f>Table_1_Area_yield_and_production_estimates_for_the_2021_Scottish_harvest456[[#This Row],[2020-21]]=J16</f>
        <v>1</v>
      </c>
      <c r="O16" t="b">
        <f>Table_1_Area_yield_and_production_estimates_for_the_2021_Scottish_harvest456[[#This Row],[2021-22]]=K16</f>
        <v>1</v>
      </c>
      <c r="Q16" s="69">
        <f>ABS(I16-Table_1_Area_yield_and_production_estimates_for_the_2021_Scottish_harvest456[[#This Row],[2019-20]])</f>
        <v>0</v>
      </c>
      <c r="R16" s="69">
        <f>ABS(J16-Table_1_Area_yield_and_production_estimates_for_the_2021_Scottish_harvest456[[#This Row],[2020-21]])</f>
        <v>0</v>
      </c>
      <c r="S16" s="70">
        <f>ABS(K16-Table_1_Area_yield_and_production_estimates_for_the_2021_Scottish_harvest456[[#This Row],[2021-22]])</f>
        <v>0</v>
      </c>
    </row>
    <row r="17" spans="1:19" ht="24.9" customHeight="1" x14ac:dyDescent="0.35">
      <c r="A17" s="21" t="s">
        <v>29</v>
      </c>
      <c r="B17" s="46" t="s">
        <v>36</v>
      </c>
      <c r="C17" s="53">
        <v>0.14767349608622801</v>
      </c>
      <c r="D17" s="54">
        <v>0.12818550439613899</v>
      </c>
      <c r="E17" s="55">
        <v>0.14438092885796</v>
      </c>
      <c r="H17" s="24"/>
      <c r="I17">
        <v>0.14767349608622798</v>
      </c>
      <c r="J17">
        <v>0.12818550439613879</v>
      </c>
      <c r="K17">
        <v>0.14438769633634269</v>
      </c>
      <c r="M17" t="b">
        <f>Table_1_Area_yield_and_production_estimates_for_the_2021_Scottish_harvest456[[#This Row],[2019-20]]=I17</f>
        <v>1</v>
      </c>
      <c r="N17" t="b">
        <f>Table_1_Area_yield_and_production_estimates_for_the_2021_Scottish_harvest456[[#This Row],[2020-21]]=J17</f>
        <v>1</v>
      </c>
      <c r="O17" t="b">
        <f>Table_1_Area_yield_and_production_estimates_for_the_2021_Scottish_harvest456[[#This Row],[2021-22]]=K17</f>
        <v>0</v>
      </c>
      <c r="Q17" s="69">
        <f>ABS(I17-Table_1_Area_yield_and_production_estimates_for_the_2021_Scottish_harvest456[[#This Row],[2019-20]])</f>
        <v>2.7755575615628914E-17</v>
      </c>
      <c r="R17" s="69">
        <f>ABS(J17-Table_1_Area_yield_and_production_estimates_for_the_2021_Scottish_harvest456[[#This Row],[2020-21]])</f>
        <v>1.9428902930940239E-16</v>
      </c>
      <c r="S17" s="70">
        <f>ABS(K17-Table_1_Area_yield_and_production_estimates_for_the_2021_Scottish_harvest456[[#This Row],[2021-22]])</f>
        <v>6.7674783826854323E-6</v>
      </c>
    </row>
    <row r="18" spans="1:19" ht="24.9" customHeight="1" x14ac:dyDescent="0.35">
      <c r="A18" s="21" t="s">
        <v>29</v>
      </c>
      <c r="B18" s="46" t="s">
        <v>35</v>
      </c>
      <c r="C18" s="53">
        <v>0.207596684538493</v>
      </c>
      <c r="D18" s="54">
        <v>0.207065427080389</v>
      </c>
      <c r="E18" s="55">
        <v>0.232392342275728</v>
      </c>
      <c r="H18" s="24"/>
      <c r="I18">
        <v>0.2075966845384935</v>
      </c>
      <c r="J18">
        <v>0.20706542708038922</v>
      </c>
      <c r="K18">
        <v>0.23239738788103581</v>
      </c>
      <c r="M18" t="b">
        <f>Table_1_Area_yield_and_production_estimates_for_the_2021_Scottish_harvest456[[#This Row],[2019-20]]=I18</f>
        <v>0</v>
      </c>
      <c r="N18" t="b">
        <f>Table_1_Area_yield_and_production_estimates_for_the_2021_Scottish_harvest456[[#This Row],[2020-21]]=J18</f>
        <v>1</v>
      </c>
      <c r="O18" t="b">
        <f>Table_1_Area_yield_and_production_estimates_for_the_2021_Scottish_harvest456[[#This Row],[2021-22]]=K18</f>
        <v>0</v>
      </c>
      <c r="Q18" s="69">
        <f>ABS(I18-Table_1_Area_yield_and_production_estimates_for_the_2021_Scottish_harvest456[[#This Row],[2019-20]])</f>
        <v>4.9960036108132044E-16</v>
      </c>
      <c r="R18" s="69">
        <f>ABS(J18-Table_1_Area_yield_and_production_estimates_for_the_2021_Scottish_harvest456[[#This Row],[2020-21]])</f>
        <v>2.2204460492503131E-16</v>
      </c>
      <c r="S18" s="70">
        <f>ABS(K18-Table_1_Area_yield_and_production_estimates_for_the_2021_Scottish_harvest456[[#This Row],[2021-22]])</f>
        <v>5.0456053078129504E-6</v>
      </c>
    </row>
    <row r="19" spans="1:19" ht="24.9" customHeight="1" x14ac:dyDescent="0.35">
      <c r="A19" s="21" t="s">
        <v>41</v>
      </c>
      <c r="B19" s="46" t="s">
        <v>45</v>
      </c>
      <c r="C19" s="53">
        <v>0.125</v>
      </c>
      <c r="D19" s="54">
        <v>0.13500000000000001</v>
      </c>
      <c r="E19" s="55">
        <v>0.13500000000000001</v>
      </c>
      <c r="H19" s="24"/>
      <c r="Q19" s="69"/>
      <c r="R19" s="69"/>
      <c r="S19" s="70"/>
    </row>
    <row r="20" spans="1:19" ht="24.9" customHeight="1" x14ac:dyDescent="0.35">
      <c r="A20" s="21" t="s">
        <v>41</v>
      </c>
      <c r="B20" s="46" t="s">
        <v>36</v>
      </c>
      <c r="C20" s="53">
        <v>6.8088026503454802E-2</v>
      </c>
      <c r="D20" s="54">
        <v>7.5630271116096298E-2</v>
      </c>
      <c r="E20" s="55">
        <v>7.4280522178004696E-2</v>
      </c>
      <c r="H20" s="24"/>
      <c r="Q20" s="69"/>
      <c r="R20" s="69"/>
      <c r="S20" s="70"/>
    </row>
    <row r="21" spans="1:19" ht="24.9" customHeight="1" x14ac:dyDescent="0.35">
      <c r="A21" s="21" t="s">
        <v>41</v>
      </c>
      <c r="B21" s="46" t="s">
        <v>35</v>
      </c>
      <c r="C21" s="53">
        <v>0.226618267430374</v>
      </c>
      <c r="D21" s="54">
        <v>0.273493763446433</v>
      </c>
      <c r="E21" s="55">
        <v>0.24270244696539001</v>
      </c>
      <c r="H21" s="24"/>
      <c r="Q21" s="69"/>
      <c r="R21" s="69"/>
      <c r="S21" s="70"/>
    </row>
    <row r="22" spans="1:19" ht="24.9" customHeight="1" x14ac:dyDescent="0.35">
      <c r="A22" s="21" t="s">
        <v>30</v>
      </c>
      <c r="B22" s="46" t="s">
        <v>45</v>
      </c>
      <c r="C22" s="53">
        <v>0.56499999999999995</v>
      </c>
      <c r="D22" s="54">
        <v>0.54500000000000004</v>
      </c>
      <c r="E22" s="55">
        <v>0.56999999999999995</v>
      </c>
      <c r="H22" s="24"/>
      <c r="I22">
        <v>0.56499999999999995</v>
      </c>
      <c r="J22">
        <v>0.54500000000000004</v>
      </c>
      <c r="K22">
        <v>0.56999999999999995</v>
      </c>
      <c r="M22" t="b">
        <f>Table_1_Area_yield_and_production_estimates_for_the_2021_Scottish_harvest456[[#This Row],[2019-20]]=I22</f>
        <v>1</v>
      </c>
      <c r="N22" t="b">
        <f>Table_1_Area_yield_and_production_estimates_for_the_2021_Scottish_harvest456[[#This Row],[2020-21]]=J22</f>
        <v>1</v>
      </c>
      <c r="O22" t="b">
        <f>Table_1_Area_yield_and_production_estimates_for_the_2021_Scottish_harvest456[[#This Row],[2021-22]]=K22</f>
        <v>1</v>
      </c>
      <c r="Q22" s="69">
        <f>ABS(I22-Table_1_Area_yield_and_production_estimates_for_the_2021_Scottish_harvest456[[#This Row],[2019-20]])</f>
        <v>0</v>
      </c>
      <c r="R22" s="69">
        <f>ABS(J22-Table_1_Area_yield_and_production_estimates_for_the_2021_Scottish_harvest456[[#This Row],[2020-21]])</f>
        <v>0</v>
      </c>
      <c r="S22" s="70">
        <f>ABS(K22-Table_1_Area_yield_and_production_estimates_for_the_2021_Scottish_harvest456[[#This Row],[2021-22]])</f>
        <v>0</v>
      </c>
    </row>
    <row r="23" spans="1:19" ht="24.9" customHeight="1" x14ac:dyDescent="0.35">
      <c r="A23" s="21" t="s">
        <v>30</v>
      </c>
      <c r="B23" s="46" t="s">
        <v>36</v>
      </c>
      <c r="C23" s="53">
        <v>0.42235825094455898</v>
      </c>
      <c r="D23" s="54">
        <v>0.42490015945604698</v>
      </c>
      <c r="E23" s="55">
        <v>0.40818842206650102</v>
      </c>
      <c r="H23" s="24"/>
      <c r="I23">
        <v>0.42235825094455864</v>
      </c>
      <c r="J23">
        <v>0.42490015945604703</v>
      </c>
      <c r="K23">
        <v>0.40918011828176709</v>
      </c>
      <c r="M23" t="b">
        <f>Table_1_Area_yield_and_production_estimates_for_the_2021_Scottish_harvest456[[#This Row],[2019-20]]=I23</f>
        <v>1</v>
      </c>
      <c r="N23" t="b">
        <f>Table_1_Area_yield_and_production_estimates_for_the_2021_Scottish_harvest456[[#This Row],[2020-21]]=J23</f>
        <v>1</v>
      </c>
      <c r="O23" t="b">
        <f>Table_1_Area_yield_and_production_estimates_for_the_2021_Scottish_harvest456[[#This Row],[2021-22]]=K23</f>
        <v>0</v>
      </c>
      <c r="Q23" s="69">
        <f>ABS(I23-Table_1_Area_yield_and_production_estimates_for_the_2021_Scottish_harvest456[[#This Row],[2019-20]])</f>
        <v>3.3306690738754696E-16</v>
      </c>
      <c r="R23" s="69">
        <f>ABS(J23-Table_1_Area_yield_and_production_estimates_for_the_2021_Scottish_harvest456[[#This Row],[2020-21]])</f>
        <v>5.5511151231257827E-17</v>
      </c>
      <c r="S23" s="70">
        <f>ABS(K23-Table_1_Area_yield_and_production_estimates_for_the_2021_Scottish_harvest456[[#This Row],[2021-22]])</f>
        <v>9.916962152660691E-4</v>
      </c>
    </row>
    <row r="24" spans="1:19" ht="24.9" customHeight="1" x14ac:dyDescent="0.35">
      <c r="A24" s="21" t="s">
        <v>30</v>
      </c>
      <c r="B24" s="46" t="s">
        <v>35</v>
      </c>
      <c r="C24" s="53">
        <v>0.75793013537732801</v>
      </c>
      <c r="D24" s="54">
        <v>0.70155635334794397</v>
      </c>
      <c r="E24" s="55">
        <v>0.68809043226029998</v>
      </c>
      <c r="I24">
        <v>0.7579301353773279</v>
      </c>
      <c r="J24">
        <v>0.70155635334794408</v>
      </c>
      <c r="K24">
        <v>0.68805226545919296</v>
      </c>
      <c r="M24" t="b">
        <f>Table_1_Area_yield_and_production_estimates_for_the_2021_Scottish_harvest456[[#This Row],[2019-20]]=I24</f>
        <v>1</v>
      </c>
      <c r="N24" t="b">
        <f>Table_1_Area_yield_and_production_estimates_for_the_2021_Scottish_harvest456[[#This Row],[2020-21]]=J24</f>
        <v>1</v>
      </c>
      <c r="O24" t="b">
        <f>Table_1_Area_yield_and_production_estimates_for_the_2021_Scottish_harvest456[[#This Row],[2021-22]]=K24</f>
        <v>0</v>
      </c>
      <c r="Q24" s="69">
        <f>ABS(I24-Table_1_Area_yield_and_production_estimates_for_the_2021_Scottish_harvest456[[#This Row],[2019-20]])</f>
        <v>1.1102230246251565E-16</v>
      </c>
      <c r="R24" s="69">
        <f>ABS(J24-Table_1_Area_yield_and_production_estimates_for_the_2021_Scottish_harvest456[[#This Row],[2020-21]])</f>
        <v>1.1102230246251565E-16</v>
      </c>
      <c r="S24" s="70">
        <f>ABS(K24-Table_1_Area_yield_and_production_estimates_for_the_2021_Scottish_harvest456[[#This Row],[2021-22]])</f>
        <v>3.8166801107020198E-5</v>
      </c>
    </row>
    <row r="25" spans="1:19" ht="26.25" customHeight="1" x14ac:dyDescent="0.35">
      <c r="C25" s="15"/>
      <c r="D25" s="4"/>
      <c r="E25" s="4"/>
    </row>
    <row r="26" spans="1:19" ht="26.15" customHeight="1" x14ac:dyDescent="0.35">
      <c r="A26" s="1"/>
      <c r="B26" s="1"/>
      <c r="C26" s="3"/>
      <c r="E26" s="5"/>
    </row>
    <row r="27" spans="1:19" x14ac:dyDescent="0.35">
      <c r="A27" s="25"/>
      <c r="B27" s="25"/>
      <c r="C27" s="47"/>
      <c r="D27" s="47"/>
      <c r="E27" s="47"/>
    </row>
    <row r="28" spans="1:19" x14ac:dyDescent="0.35">
      <c r="C28" s="3"/>
      <c r="D28" s="3"/>
      <c r="E28" s="3"/>
    </row>
    <row r="29" spans="1:19" ht="64.5" customHeight="1" x14ac:dyDescent="0.35"/>
    <row r="31" spans="1:19" x14ac:dyDescent="0.35">
      <c r="E31" s="26"/>
    </row>
    <row r="32" spans="1:19" x14ac:dyDescent="0.35">
      <c r="E32" s="26"/>
    </row>
    <row r="33" spans="5:5" x14ac:dyDescent="0.35">
      <c r="E33" s="26"/>
    </row>
    <row r="34" spans="5:5" x14ac:dyDescent="0.35">
      <c r="E34" s="26"/>
    </row>
    <row r="35" spans="5:5" x14ac:dyDescent="0.35">
      <c r="E35" s="26"/>
    </row>
    <row r="36" spans="5:5" x14ac:dyDescent="0.35">
      <c r="E36" s="1"/>
    </row>
    <row r="37" spans="5:5" x14ac:dyDescent="0.35">
      <c r="E37" s="26"/>
    </row>
    <row r="39" spans="5:5" ht="12.75" customHeight="1" x14ac:dyDescent="0.35"/>
    <row r="40" spans="5:5" ht="12.75" customHeight="1" x14ac:dyDescent="0.35"/>
    <row r="41" spans="5:5" ht="12.75" customHeight="1" x14ac:dyDescent="0.35"/>
  </sheetData>
  <phoneticPr fontId="21" type="noConversion"/>
  <hyperlinks>
    <hyperlink ref="A4" location="'Table of contents'!A1" display="Link to table of contents" xr:uid="{3638BB32-CECA-438D-8F9D-77A6054D15D0}"/>
  </hyperlinks>
  <pageMargins left="0.75" right="0.75" top="1" bottom="1" header="0.5" footer="0.5"/>
  <pageSetup paperSize="9" scale="61" orientation="landscape" r:id="rId1"/>
  <headerFooter alignWithMargins="0"/>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etadata xmlns="http://www.objective.com/ecm/document/metadata/53D26341A57B383EE0540010E0463CCA" version="1.0.0">
  <systemFields>
    <field name="Objective-Id">
      <value order="0">A43455588</value>
    </field>
    <field name="Objective-Title">
      <value order="0">Farm Business Survey - Research - Carbon Audit Analysis 2023 - SEFARI - Publication - Tables - draft</value>
    </field>
    <field name="Objective-Description">
      <value order="0"/>
    </field>
    <field name="Objective-CreationStamp">
      <value order="0">2023-04-24T15:13:39Z</value>
    </field>
    <field name="Objective-IsApproved">
      <value order="0">false</value>
    </field>
    <field name="Objective-IsPublished">
      <value order="0">false</value>
    </field>
    <field name="Objective-DatePublished">
      <value order="0"/>
    </field>
    <field name="Objective-ModificationStamp">
      <value order="0">2023-05-31T13:33:37Z</value>
    </field>
    <field name="Objective-Owner">
      <value order="0">Gillam, Jay J (U440094)</value>
    </field>
    <field name="Objective-Path">
      <value order="0">Objective Global Folder:SG File Plan:Agriculture, environment and natural resources:Farming:General:Research and analysis: Farming - general:Statistical: Surveys - Farm Business Survey - Carbon Audits: Research and analysis: Farming: 2021-2026</value>
    </field>
    <field name="Objective-Parent">
      <value order="0">Statistical: Surveys - Farm Business Survey - Carbon Audits: Research and analysis: Farming: 2021-2026</value>
    </field>
    <field name="Objective-State">
      <value order="0">Being Drafted</value>
    </field>
    <field name="Objective-VersionId">
      <value order="0">vA65587812</value>
    </field>
    <field name="Objective-Version">
      <value order="0">2.1</value>
    </field>
    <field name="Objective-VersionNumber">
      <value order="0">5</value>
    </field>
    <field name="Objective-VersionComment">
      <value order="0"/>
    </field>
    <field name="Objective-FileNumber">
      <value order="0">STAT/313</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8102e75-8a10-4cfc-9a6f-28ca16804fdc">
      <Terms xmlns="http://schemas.microsoft.com/office/infopath/2007/PartnerControls"/>
    </lcf76f155ced4ddcb4097134ff3c332f>
    <TaxCatchAll xmlns="a13e2855-205b-47c1-af91-45affc400dc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A7D80279D86B849A3EDF74675CEC2D1" ma:contentTypeVersion="15" ma:contentTypeDescription="Create a new document." ma:contentTypeScope="" ma:versionID="659e19351b42bffc1bcfb7335b2e4aa3">
  <xsd:schema xmlns:xsd="http://www.w3.org/2001/XMLSchema" xmlns:xs="http://www.w3.org/2001/XMLSchema" xmlns:p="http://schemas.microsoft.com/office/2006/metadata/properties" xmlns:ns2="88102e75-8a10-4cfc-9a6f-28ca16804fdc" xmlns:ns3="a13e2855-205b-47c1-af91-45affc400dcd" targetNamespace="http://schemas.microsoft.com/office/2006/metadata/properties" ma:root="true" ma:fieldsID="c9fb61f4194c7f35c2055f0dfba20530" ns2:_="" ns3:_="">
    <xsd:import namespace="88102e75-8a10-4cfc-9a6f-28ca16804fdc"/>
    <xsd:import namespace="a13e2855-205b-47c1-af91-45affc400dc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102e75-8a10-4cfc-9a6f-28ca16804f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94d5e3d-88e3-4c55-b684-1c81dd55b71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13e2855-205b-47c1-af91-45affc400dc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33b2b62e-d9cd-47dc-ac3b-d87dfafcb05f}" ma:internalName="TaxCatchAll" ma:showField="CatchAllData" ma:web="a13e2855-205b-47c1-af91-45affc400dc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customXml/itemProps2.xml><?xml version="1.0" encoding="utf-8"?>
<ds:datastoreItem xmlns:ds="http://schemas.openxmlformats.org/officeDocument/2006/customXml" ds:itemID="{874D4FCF-566F-424F-A006-18B009B36AAA}">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AB098064-DDE9-4358-BCA6-27FD9310CDBD}"/>
</file>

<file path=customXml/itemProps4.xml><?xml version="1.0" encoding="utf-8"?>
<ds:datastoreItem xmlns:ds="http://schemas.openxmlformats.org/officeDocument/2006/customXml" ds:itemID="{B6C0820C-D02B-469F-86A7-F46B44DEEDD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Notes</vt:lpstr>
      <vt:lpstr>Table of contents</vt:lpstr>
      <vt:lpstr>Table_1</vt:lpstr>
      <vt:lpstr>Table_2</vt:lpstr>
      <vt:lpstr>Table_3</vt:lpstr>
      <vt:lpstr>Table_4</vt:lpstr>
    </vt:vector>
  </TitlesOfParts>
  <Manager/>
  <Company>Scottish Executive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Adam Cruickshank</dc:creator>
  <cp:keywords/>
  <dc:description/>
  <cp:lastModifiedBy>Jacqueline Massaya</cp:lastModifiedBy>
  <cp:revision/>
  <dcterms:created xsi:type="dcterms:W3CDTF">2010-09-21T11:41:39Z</dcterms:created>
  <dcterms:modified xsi:type="dcterms:W3CDTF">2024-06-06T12:30:49Z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bjective-Id">
    <vt:lpwstr>A43455588</vt:lpwstr>
  </property>
  <property fmtid="{D5CDD505-2E9C-101B-9397-08002B2CF9AE}" pid="3" name="Objective-Comment">
    <vt:lpwstr/>
  </property>
  <property fmtid="{D5CDD505-2E9C-101B-9397-08002B2CF9AE}" pid="4" name="Objective-CreationStamp">
    <vt:filetime>2023-04-24T15:13:39Z</vt:filetime>
  </property>
  <property fmtid="{D5CDD505-2E9C-101B-9397-08002B2CF9AE}" pid="5" name="Objective-IsApproved">
    <vt:bool>false</vt:bool>
  </property>
  <property fmtid="{D5CDD505-2E9C-101B-9397-08002B2CF9AE}" pid="6" name="Objective-IsPublished">
    <vt:bool>false</vt:bool>
  </property>
  <property fmtid="{D5CDD505-2E9C-101B-9397-08002B2CF9AE}" pid="7" name="Objective-DatePublished">
    <vt:lpwstr/>
  </property>
  <property fmtid="{D5CDD505-2E9C-101B-9397-08002B2CF9AE}" pid="8" name="Objective-ModificationStamp">
    <vt:filetime>2023-05-31T13:33:37Z</vt:filetime>
  </property>
  <property fmtid="{D5CDD505-2E9C-101B-9397-08002B2CF9AE}" pid="9" name="Objective-Owner">
    <vt:lpwstr>Gillam, Jay J (U440094)</vt:lpwstr>
  </property>
  <property fmtid="{D5CDD505-2E9C-101B-9397-08002B2CF9AE}" pid="10" name="Objective-Path">
    <vt:lpwstr>Objective Global Folder:SG File Plan:Agriculture, environment and natural resources:Farming:General:Research and analysis: Farming - general:Statistical: Surveys - Farm Business Survey - Carbon Audits: Research and analysis: Farming: 2021-2026</vt:lpwstr>
  </property>
  <property fmtid="{D5CDD505-2E9C-101B-9397-08002B2CF9AE}" pid="11" name="Objective-Parent">
    <vt:lpwstr>Statistical: Surveys - Farm Business Survey - Carbon Audits: Research and analysis: Farming: 2021-2026</vt:lpwstr>
  </property>
  <property fmtid="{D5CDD505-2E9C-101B-9397-08002B2CF9AE}" pid="12" name="Objective-State">
    <vt:lpwstr>Being Drafted</vt:lpwstr>
  </property>
  <property fmtid="{D5CDD505-2E9C-101B-9397-08002B2CF9AE}" pid="13" name="Objective-Title">
    <vt:lpwstr>Farm Business Survey - Research - Carbon Audit Analysis 2023 - SEFARI - Publication - Tables - draft</vt:lpwstr>
  </property>
  <property fmtid="{D5CDD505-2E9C-101B-9397-08002B2CF9AE}" pid="14" name="Objective-Version">
    <vt:lpwstr>2.1</vt:lpwstr>
  </property>
  <property fmtid="{D5CDD505-2E9C-101B-9397-08002B2CF9AE}" pid="15" name="Objective-VersionComment">
    <vt:lpwstr/>
  </property>
  <property fmtid="{D5CDD505-2E9C-101B-9397-08002B2CF9AE}" pid="16" name="Objective-VersionNumber">
    <vt:r8>5</vt:r8>
  </property>
  <property fmtid="{D5CDD505-2E9C-101B-9397-08002B2CF9AE}" pid="17" name="Objective-FileNumber">
    <vt:lpwstr>STAT/313</vt:lpwstr>
  </property>
  <property fmtid="{D5CDD505-2E9C-101B-9397-08002B2CF9AE}" pid="18" name="Objective-Classification">
    <vt:lpwstr>OFFICIAL-SENSITIVE</vt:lpwstr>
  </property>
  <property fmtid="{D5CDD505-2E9C-101B-9397-08002B2CF9AE}" pid="19" name="Objective-Caveats">
    <vt:lpwstr>Caveat for access to SG Fileplan</vt:lpwstr>
  </property>
  <property fmtid="{D5CDD505-2E9C-101B-9397-08002B2CF9AE}" pid="20" name="Objective-Date of Original [system]">
    <vt:lpwstr/>
  </property>
  <property fmtid="{D5CDD505-2E9C-101B-9397-08002B2CF9AE}" pid="21" name="Objective-Date Received [system]">
    <vt:lpwstr/>
  </property>
  <property fmtid="{D5CDD505-2E9C-101B-9397-08002B2CF9AE}" pid="22" name="Objective-SG Web Publication - Category [system]">
    <vt:lpwstr/>
  </property>
  <property fmtid="{D5CDD505-2E9C-101B-9397-08002B2CF9AE}" pid="23" name="Objective-SG Web Publication - Category 2 Classification [system]">
    <vt:lpwstr/>
  </property>
  <property fmtid="{D5CDD505-2E9C-101B-9397-08002B2CF9AE}" pid="24" name="Objective-Description">
    <vt:lpwstr/>
  </property>
  <property fmtid="{D5CDD505-2E9C-101B-9397-08002B2CF9AE}" pid="25" name="Objective-VersionId">
    <vt:lpwstr>vA65587812</vt:lpwstr>
  </property>
  <property fmtid="{D5CDD505-2E9C-101B-9397-08002B2CF9AE}" pid="26" name="Objective-Connect Creator">
    <vt:lpwstr/>
  </property>
  <property fmtid="{D5CDD505-2E9C-101B-9397-08002B2CF9AE}" pid="27" name="Objective-Date Received">
    <vt:lpwstr/>
  </property>
  <property fmtid="{D5CDD505-2E9C-101B-9397-08002B2CF9AE}" pid="28" name="Objective-Date of Original">
    <vt:lpwstr/>
  </property>
  <property fmtid="{D5CDD505-2E9C-101B-9397-08002B2CF9AE}" pid="29" name="Objective-SG Web Publication - Category">
    <vt:lpwstr/>
  </property>
  <property fmtid="{D5CDD505-2E9C-101B-9397-08002B2CF9AE}" pid="30" name="Objective-SG Web Publication - Category 2 Classification">
    <vt:lpwstr/>
  </property>
  <property fmtid="{D5CDD505-2E9C-101B-9397-08002B2CF9AE}" pid="31" name="Objective-Connect Creator [system]">
    <vt:lpwstr/>
  </property>
  <property fmtid="{D5CDD505-2E9C-101B-9397-08002B2CF9AE}" pid="32" name="Objective-Required Redaction">
    <vt:lpwstr/>
  </property>
  <property fmtid="{D5CDD505-2E9C-101B-9397-08002B2CF9AE}" pid="33" name="ContentTypeId">
    <vt:lpwstr>0x0101001A7D80279D86B849A3EDF74675CEC2D1</vt:lpwstr>
  </property>
  <property fmtid="{D5CDD505-2E9C-101B-9397-08002B2CF9AE}" pid="34" name="MediaServiceImageTags">
    <vt:lpwstr/>
  </property>
</Properties>
</file>